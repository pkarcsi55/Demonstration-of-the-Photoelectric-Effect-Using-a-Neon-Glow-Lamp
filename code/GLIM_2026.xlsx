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\Progarmozás\LOLIN\LOLOIN32_lite_glimm_V2beep\"/>
    </mc:Choice>
  </mc:AlternateContent>
  <xr:revisionPtr revIDLastSave="0" documentId="13_ncr:1_{EEEF87B3-55FD-49AE-A406-2FE9576EADB4}" xr6:coauthVersionLast="47" xr6:coauthVersionMax="47" xr10:uidLastSave="{00000000-0000-0000-0000-000000000000}"/>
  <bookViews>
    <workbookView xWindow="105" yWindow="255" windowWidth="21300" windowHeight="14760" xr2:uid="{23BED898-192C-4AFE-935E-F7023DB84F2F}"/>
  </bookViews>
  <sheets>
    <sheet name="Munka1" sheetId="1" r:id="rId1"/>
    <sheet name="Bejövő adatok" sheetId="5" r:id="rId2"/>
    <sheet name="Kimenő adatok" sheetId="4" r:id="rId3"/>
    <sheet name="Beállítások" sheetId="3" r:id="rId4"/>
    <sheet name="Jegyzékfájl" sheetId="2" r:id="rId5"/>
  </sheets>
  <definedNames>
    <definedName name="DataChannelCountSetting">Beállítások!$C$8</definedName>
    <definedName name="DataDelaySetting">Beállítások!$C$4</definedName>
    <definedName name="DataOrientationSetting">Beállítások!$C$10</definedName>
    <definedName name="DataRowCountSetting">Beállítások!$C$6</definedName>
    <definedName name="Manifest_BaudRate">Jegyzékfájl!$I$9</definedName>
    <definedName name="Manifest_DataInterval">Jegyzékfájl!$I$7</definedName>
    <definedName name="Manifest_Generated">Jegyzékfájl!$K$5</definedName>
    <definedName name="Manifest_Id">Jegyzékfájl!$I$5:$J$5</definedName>
    <definedName name="Manifest_Schema">Jegyzékfájl!$L$1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" l="1"/>
  <c r="Q2" i="1"/>
  <c r="P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3" i="1"/>
  <c r="U2" i="1" l="1"/>
  <c r="T2" i="1"/>
  <c r="S2" i="1"/>
  <c r="R2" i="1"/>
  <c r="AA85" i="1" l="1"/>
  <c r="AA93" i="1"/>
  <c r="AA55" i="1"/>
  <c r="AA63" i="1"/>
  <c r="AA71" i="1"/>
  <c r="AA79" i="1"/>
  <c r="AA74" i="1"/>
  <c r="AA89" i="1"/>
  <c r="AA67" i="1"/>
  <c r="AA69" i="1"/>
  <c r="AA70" i="1"/>
  <c r="AA86" i="1"/>
  <c r="AA94" i="1"/>
  <c r="AA56" i="1"/>
  <c r="AA64" i="1"/>
  <c r="AA72" i="1"/>
  <c r="AA80" i="1"/>
  <c r="AA75" i="1"/>
  <c r="AA91" i="1"/>
  <c r="AA53" i="1"/>
  <c r="AA78" i="1"/>
  <c r="AA87" i="1"/>
  <c r="AA95" i="1"/>
  <c r="AA57" i="1"/>
  <c r="AA65" i="1"/>
  <c r="AA73" i="1"/>
  <c r="AA81" i="1"/>
  <c r="AA58" i="1"/>
  <c r="AA59" i="1"/>
  <c r="AA99" i="1"/>
  <c r="AA100" i="1"/>
  <c r="AA88" i="1"/>
  <c r="AA96" i="1"/>
  <c r="AA66" i="1"/>
  <c r="AA97" i="1"/>
  <c r="AA51" i="1"/>
  <c r="AA76" i="1"/>
  <c r="AA77" i="1"/>
  <c r="AA92" i="1"/>
  <c r="AA62" i="1"/>
  <c r="AA61" i="1"/>
  <c r="AA82" i="1"/>
  <c r="AA90" i="1"/>
  <c r="AA98" i="1"/>
  <c r="AA52" i="1"/>
  <c r="AA60" i="1"/>
  <c r="AA68" i="1"/>
  <c r="AA83" i="1"/>
  <c r="AA84" i="1"/>
  <c r="AA54" i="1"/>
  <c r="Y82" i="1"/>
  <c r="Y90" i="1"/>
  <c r="Y98" i="1"/>
  <c r="Y64" i="1"/>
  <c r="Y83" i="1"/>
  <c r="Y91" i="1"/>
  <c r="Y99" i="1"/>
  <c r="Y52" i="1"/>
  <c r="Y56" i="1"/>
  <c r="Y60" i="1"/>
  <c r="Y68" i="1"/>
  <c r="Y84" i="1"/>
  <c r="Y92" i="1"/>
  <c r="Y100" i="1"/>
  <c r="Y93" i="1"/>
  <c r="Y53" i="1"/>
  <c r="Y57" i="1"/>
  <c r="Y61" i="1"/>
  <c r="Y65" i="1"/>
  <c r="Y69" i="1"/>
  <c r="Y73" i="1"/>
  <c r="Y77" i="1"/>
  <c r="Y81" i="1"/>
  <c r="Y94" i="1"/>
  <c r="Y66" i="1"/>
  <c r="Y78" i="1"/>
  <c r="Y72" i="1"/>
  <c r="Y80" i="1"/>
  <c r="Y85" i="1"/>
  <c r="Y70" i="1"/>
  <c r="Y79" i="1"/>
  <c r="Y86" i="1"/>
  <c r="Y71" i="1"/>
  <c r="Y87" i="1"/>
  <c r="Y95" i="1"/>
  <c r="Y54" i="1"/>
  <c r="Y58" i="1"/>
  <c r="Y62" i="1"/>
  <c r="Y74" i="1"/>
  <c r="Y75" i="1"/>
  <c r="Y88" i="1"/>
  <c r="Y96" i="1"/>
  <c r="Y89" i="1"/>
  <c r="Y97" i="1"/>
  <c r="Y51" i="1"/>
  <c r="Y55" i="1"/>
  <c r="Y59" i="1"/>
  <c r="Y63" i="1"/>
  <c r="Y67" i="1"/>
  <c r="Y76" i="1"/>
  <c r="Z82" i="1"/>
  <c r="Z83" i="1"/>
  <c r="Z84" i="1"/>
  <c r="Z92" i="1"/>
  <c r="Z100" i="1"/>
  <c r="Z56" i="1"/>
  <c r="Z64" i="1"/>
  <c r="Z72" i="1"/>
  <c r="Z80" i="1"/>
  <c r="Z94" i="1"/>
  <c r="Z54" i="1"/>
  <c r="Z62" i="1"/>
  <c r="Z57" i="1"/>
  <c r="Z73" i="1"/>
  <c r="Z74" i="1"/>
  <c r="Z53" i="1"/>
  <c r="Z69" i="1"/>
  <c r="Z85" i="1"/>
  <c r="Z93" i="1"/>
  <c r="Z51" i="1"/>
  <c r="Z59" i="1"/>
  <c r="Z67" i="1"/>
  <c r="Z75" i="1"/>
  <c r="Z86" i="1"/>
  <c r="Z78" i="1"/>
  <c r="Z95" i="1"/>
  <c r="Z65" i="1"/>
  <c r="Z81" i="1"/>
  <c r="Z99" i="1"/>
  <c r="Z70" i="1"/>
  <c r="Z87" i="1"/>
  <c r="Z88" i="1"/>
  <c r="Z96" i="1"/>
  <c r="Z52" i="1"/>
  <c r="Z60" i="1"/>
  <c r="Z68" i="1"/>
  <c r="Z76" i="1"/>
  <c r="Z89" i="1"/>
  <c r="Z97" i="1"/>
  <c r="Z55" i="1"/>
  <c r="Z63" i="1"/>
  <c r="Z71" i="1"/>
  <c r="Z79" i="1"/>
  <c r="Z90" i="1"/>
  <c r="Z98" i="1"/>
  <c r="Z58" i="1"/>
  <c r="Z66" i="1"/>
  <c r="Z91" i="1"/>
  <c r="Z61" i="1"/>
  <c r="Z77" i="1"/>
  <c r="X5" i="1"/>
  <c r="X85" i="1"/>
  <c r="X93" i="1"/>
  <c r="X52" i="1"/>
  <c r="X54" i="1"/>
  <c r="X56" i="1"/>
  <c r="X58" i="1"/>
  <c r="X60" i="1"/>
  <c r="X62" i="1"/>
  <c r="X64" i="1"/>
  <c r="X66" i="1"/>
  <c r="X68" i="1"/>
  <c r="X70" i="1"/>
  <c r="X72" i="1"/>
  <c r="X74" i="1"/>
  <c r="X76" i="1"/>
  <c r="X78" i="1"/>
  <c r="X80" i="1"/>
  <c r="X75" i="1"/>
  <c r="X86" i="1"/>
  <c r="X94" i="1"/>
  <c r="X51" i="1"/>
  <c r="X59" i="1"/>
  <c r="X67" i="1"/>
  <c r="X77" i="1"/>
  <c r="X87" i="1"/>
  <c r="X95" i="1"/>
  <c r="X55" i="1"/>
  <c r="X57" i="1"/>
  <c r="X63" i="1"/>
  <c r="X69" i="1"/>
  <c r="X73" i="1"/>
  <c r="X81" i="1"/>
  <c r="X92" i="1"/>
  <c r="X88" i="1"/>
  <c r="X96" i="1"/>
  <c r="X97" i="1"/>
  <c r="X53" i="1"/>
  <c r="X61" i="1"/>
  <c r="X65" i="1"/>
  <c r="X71" i="1"/>
  <c r="X79" i="1"/>
  <c r="X84" i="1"/>
  <c r="X89" i="1"/>
  <c r="X82" i="1"/>
  <c r="X90" i="1"/>
  <c r="X98" i="1"/>
  <c r="X91" i="1"/>
  <c r="X99" i="1"/>
  <c r="X100" i="1"/>
  <c r="X83" i="1"/>
  <c r="Y4" i="1"/>
  <c r="Z6" i="1"/>
  <c r="AA8" i="1"/>
  <c r="AA14" i="1"/>
  <c r="AA30" i="1"/>
  <c r="AA46" i="1"/>
  <c r="AA42" i="1"/>
  <c r="AA26" i="1"/>
  <c r="AA10" i="1"/>
  <c r="AA5" i="1"/>
  <c r="AA38" i="1"/>
  <c r="AA22" i="1"/>
  <c r="AA50" i="1"/>
  <c r="AA34" i="1"/>
  <c r="AA18" i="1"/>
  <c r="AA4" i="1"/>
  <c r="AA49" i="1"/>
  <c r="AA45" i="1"/>
  <c r="AA41" i="1"/>
  <c r="AA37" i="1"/>
  <c r="AA33" i="1"/>
  <c r="AA29" i="1"/>
  <c r="AA25" i="1"/>
  <c r="AA21" i="1"/>
  <c r="AA17" i="1"/>
  <c r="AA13" i="1"/>
  <c r="AA9" i="1"/>
  <c r="AA7" i="1"/>
  <c r="AA3" i="1"/>
  <c r="AA48" i="1"/>
  <c r="AA44" i="1"/>
  <c r="AA40" i="1"/>
  <c r="AA36" i="1"/>
  <c r="AA32" i="1"/>
  <c r="AA28" i="1"/>
  <c r="AA24" i="1"/>
  <c r="AA20" i="1"/>
  <c r="AA16" i="1"/>
  <c r="AA12" i="1"/>
  <c r="AA6" i="1"/>
  <c r="AA2" i="1"/>
  <c r="AA47" i="1"/>
  <c r="AA43" i="1"/>
  <c r="AA39" i="1"/>
  <c r="AA35" i="1"/>
  <c r="AA31" i="1"/>
  <c r="AA27" i="1"/>
  <c r="AA23" i="1"/>
  <c r="AA19" i="1"/>
  <c r="AA15" i="1"/>
  <c r="AA11" i="1"/>
  <c r="Z41" i="1"/>
  <c r="Z37" i="1"/>
  <c r="Z49" i="1"/>
  <c r="Z33" i="1"/>
  <c r="Z45" i="1"/>
  <c r="Y49" i="1"/>
  <c r="Y41" i="1"/>
  <c r="Y33" i="1"/>
  <c r="Y25" i="1"/>
  <c r="Y13" i="1"/>
  <c r="Y9" i="1"/>
  <c r="Y48" i="1"/>
  <c r="Y40" i="1"/>
  <c r="Y36" i="1"/>
  <c r="Y28" i="1"/>
  <c r="Y24" i="1"/>
  <c r="Y20" i="1"/>
  <c r="Y16" i="1"/>
  <c r="Y8" i="1"/>
  <c r="Y2" i="1"/>
  <c r="Y47" i="1"/>
  <c r="Y43" i="1"/>
  <c r="Y39" i="1"/>
  <c r="Y35" i="1"/>
  <c r="Y31" i="1"/>
  <c r="Y27" i="1"/>
  <c r="Y23" i="1"/>
  <c r="Y19" i="1"/>
  <c r="Y15" i="1"/>
  <c r="Y11" i="1"/>
  <c r="Y7" i="1"/>
  <c r="Y50" i="1"/>
  <c r="Y46" i="1"/>
  <c r="Y42" i="1"/>
  <c r="Y38" i="1"/>
  <c r="Y34" i="1"/>
  <c r="Y30" i="1"/>
  <c r="Y26" i="1"/>
  <c r="Y22" i="1"/>
  <c r="Y18" i="1"/>
  <c r="Y14" i="1"/>
  <c r="Y10" i="1"/>
  <c r="Y6" i="1"/>
  <c r="Y45" i="1"/>
  <c r="Y37" i="1"/>
  <c r="Y29" i="1"/>
  <c r="Y21" i="1"/>
  <c r="Y17" i="1"/>
  <c r="Y5" i="1"/>
  <c r="Y44" i="1"/>
  <c r="Y32" i="1"/>
  <c r="Y12" i="1"/>
  <c r="Y3" i="1"/>
  <c r="Z2" i="1"/>
  <c r="Z47" i="1"/>
  <c r="Z43" i="1"/>
  <c r="Z39" i="1"/>
  <c r="Z35" i="1"/>
  <c r="Z31" i="1"/>
  <c r="Z27" i="1"/>
  <c r="Z23" i="1"/>
  <c r="Z19" i="1"/>
  <c r="Z15" i="1"/>
  <c r="Z11" i="1"/>
  <c r="Z7" i="1"/>
  <c r="Z3" i="1"/>
  <c r="Z29" i="1"/>
  <c r="Z25" i="1"/>
  <c r="Z21" i="1"/>
  <c r="Z17" i="1"/>
  <c r="Z13" i="1"/>
  <c r="Z9" i="1"/>
  <c r="Z5" i="1"/>
  <c r="Z48" i="1"/>
  <c r="Z44" i="1"/>
  <c r="Z40" i="1"/>
  <c r="Z36" i="1"/>
  <c r="Z32" i="1"/>
  <c r="Z28" i="1"/>
  <c r="Z24" i="1"/>
  <c r="Z20" i="1"/>
  <c r="Z16" i="1"/>
  <c r="Z12" i="1"/>
  <c r="Z8" i="1"/>
  <c r="Z4" i="1"/>
  <c r="Z50" i="1"/>
  <c r="Z46" i="1"/>
  <c r="Z42" i="1"/>
  <c r="Z38" i="1"/>
  <c r="Z34" i="1"/>
  <c r="Z30" i="1"/>
  <c r="Z26" i="1"/>
  <c r="Z22" i="1"/>
  <c r="Z18" i="1"/>
  <c r="Z14" i="1"/>
  <c r="Z10" i="1"/>
  <c r="X49" i="1"/>
  <c r="X45" i="1"/>
  <c r="X48" i="1"/>
  <c r="X44" i="1"/>
  <c r="X40" i="1"/>
  <c r="X36" i="1"/>
  <c r="X32" i="1"/>
  <c r="X28" i="1"/>
  <c r="X24" i="1"/>
  <c r="X20" i="1"/>
  <c r="X16" i="1"/>
  <c r="X12" i="1"/>
  <c r="X8" i="1"/>
  <c r="X4" i="1"/>
  <c r="X2" i="1"/>
  <c r="X47" i="1"/>
  <c r="X43" i="1"/>
  <c r="X39" i="1"/>
  <c r="X35" i="1"/>
  <c r="X31" i="1"/>
  <c r="X27" i="1"/>
  <c r="X23" i="1"/>
  <c r="X19" i="1"/>
  <c r="X15" i="1"/>
  <c r="X11" i="1"/>
  <c r="X7" i="1"/>
  <c r="X3" i="1"/>
  <c r="X50" i="1"/>
  <c r="X46" i="1"/>
  <c r="X42" i="1"/>
  <c r="X38" i="1"/>
  <c r="X34" i="1"/>
  <c r="X30" i="1"/>
  <c r="X26" i="1"/>
  <c r="X22" i="1"/>
  <c r="X18" i="1"/>
  <c r="X14" i="1"/>
  <c r="X10" i="1"/>
  <c r="X6" i="1"/>
  <c r="X41" i="1"/>
  <c r="X37" i="1"/>
  <c r="X33" i="1"/>
  <c r="X29" i="1"/>
  <c r="X25" i="1"/>
  <c r="X21" i="1"/>
  <c r="X17" i="1"/>
  <c r="X13" i="1"/>
  <c r="X9" i="1"/>
</calcChain>
</file>

<file path=xl/sharedStrings.xml><?xml version="1.0" encoding="utf-8"?>
<sst xmlns="http://schemas.openxmlformats.org/spreadsheetml/2006/main" count="91" uniqueCount="39">
  <si>
    <t>Csatornák</t>
  </si>
  <si>
    <t>Adatforrás azonosítója</t>
  </si>
  <si>
    <t>Adatok időköze (ms)</t>
  </si>
  <si>
    <t>Átviteli sebesség</t>
  </si>
  <si>
    <t>USB-SERIAL CH340</t>
  </si>
  <si>
    <t>Ez a jegyzékfájl a csatlakoztatott eszközhöz készült. Ha itt módosítja az eszköz nevét és a csatorna adatait, frissítjük a munkalapon lévő adatokat.</t>
  </si>
  <si>
    <t>Azonosító</t>
  </si>
  <si>
    <t>Név</t>
  </si>
  <si>
    <t>Leírás</t>
  </si>
  <si>
    <t>Mértékegység</t>
  </si>
  <si>
    <t>Aktív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</si>
  <si>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</si>
  <si>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</si>
  <si>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</si>
  <si>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</si>
  <si>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</si>
  <si>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</si>
  <si>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</si>
  <si>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</si>
  <si>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</si>
  <si>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</si>
  <si>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</si>
  <si>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Munkafüzet-beállítások</t>
  </si>
  <si>
    <t>Az alábbi beállítások hatással lesznek arra, hogy miként olvassa be a program az adatokat az adatforrásokból a jelenlegi munkafüzetbe. Az egyes mezők tartalmának törlésével visszaállíthatja az alapértelmezett beállításukat.</t>
  </si>
  <si>
    <t>Adatsorok</t>
  </si>
  <si>
    <t>Adatcsatornák</t>
  </si>
  <si>
    <t>Adatok iránya</t>
  </si>
  <si>
    <t>Legújabbak utoljára</t>
  </si>
  <si>
    <r>
      <t>FIGYELMEZTETÉS:</t>
    </r>
    <r>
      <rPr>
        <sz val="11"/>
        <color theme="1"/>
        <rFont val="Segoe UI Light"/>
        <family val="2"/>
        <charset val="238"/>
      </rPr>
      <t xml:space="preserve"> Ha módosítja a beállításokat, tartalmak és/vagy egyéni formázások veszhetnek el a Bejövő adatok és a Kimenő adatok munkalapon. Az értékek módosítása előtt mindig mentse a beállításokat.</t>
    </r>
  </si>
  <si>
    <t>Kimenő adatok (küldés az eszközre)</t>
  </si>
  <si>
    <t>Az alábbi csatornákba bevitt adatokat a rendszer egy vesszővel tagolt karakterláncként küldi el a jelenleg csatlakoztatott eszköznek.</t>
  </si>
  <si>
    <t>Ebben a szakaszban fognak megjelenni a jelenlegi adatforrásból érkező adatok a fogadásukkor.</t>
  </si>
  <si>
    <t xml:space="preserve">Jelenlegi adatok </t>
  </si>
  <si>
    <t>TIME</t>
  </si>
  <si>
    <t xml:space="preserve">Előzményadatok </t>
  </si>
  <si>
    <t>R</t>
  </si>
  <si>
    <t>Bejövő adatok innen: USB-SERIAL CH340 (COM6)</t>
  </si>
  <si>
    <t>D51DF0AC-7EB6-4E4A-8F99-4624ED5F788B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</si>
  <si>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D51DF0AC-7EB6-4E4A-8F99-4624ED5F788B","IsGenerated":true,"Name":"USB-SERIAL CH340","Version":null,"BaudRate":115200}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</si>
</sst>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h:mm:ss.00"/>
    <numFmt numFmtId="165" formatCode="0.0&quot; V&quot;"/>
    <numFmt numFmtId="166" formatCode="0.00E+00&quot; Hz&quot;"/>
    <numFmt numFmtId="167" formatCode="0.00&quot; V&quot;"/>
    <numFmt numFmtId="168" formatCode="0.00&quot; eV&quot;"/>
    <numFmt numFmtId="169" formatCode=";;;"/>
  </numFmts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Segoe UI Light"/>
      <family val="2"/>
      <charset val="238"/>
    </font>
    <font>
      <sz val="16"/>
      <color rgb="FF696969"/>
      <name val="Segoe UI Light"/>
      <family val="2"/>
      <charset val="238"/>
    </font>
    <font>
      <sz val="1"/>
      <color rgb="FFFFFFFF"/>
      <name val="Calibri"/>
      <family val="2"/>
      <charset val="238"/>
      <scheme val="minor"/>
    </font>
    <font>
      <sz val="11"/>
      <color rgb="FF000000"/>
      <name val="Segoe UI Light"/>
      <family val="2"/>
      <charset val="238"/>
    </font>
    <font>
      <sz val="10"/>
      <color rgb="FF000000"/>
      <name val="Segoe UI Light"/>
      <family val="2"/>
      <charset val="238"/>
    </font>
    <font>
      <sz val="20"/>
      <color rgb="FF696969"/>
      <name val="Segoe UI Light"/>
      <family val="2"/>
      <charset val="238"/>
    </font>
    <font>
      <sz val="11"/>
      <color rgb="FF696969"/>
      <name val="Segoe UI Light"/>
      <family val="2"/>
      <charset val="238"/>
    </font>
    <font>
      <b/>
      <sz val="15"/>
      <color rgb="FFFFFFFF"/>
      <name val="Segoe UI"/>
      <family val="2"/>
      <charset val="238"/>
    </font>
    <font>
      <sz val="10"/>
      <color rgb="FF000000"/>
      <name val="Segoe UI"/>
      <family val="2"/>
      <charset val="238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  <charset val="238"/>
    </font>
    <font>
      <sz val="11"/>
      <color rgb="FFFF0000"/>
      <name val="Segoe UI Light"/>
      <family val="2"/>
      <charset val="238"/>
    </font>
    <font>
      <sz val="10"/>
      <color rgb="FF505050"/>
      <name val="Segoe UI"/>
      <family val="2"/>
      <charset val="238"/>
    </font>
    <font>
      <sz val="11"/>
      <color rgb="FF505050"/>
      <name val="Segoe UI"/>
      <family val="2"/>
      <charset val="238"/>
    </font>
    <font>
      <sz val="13"/>
      <color rgb="FF505050"/>
      <name val="Segoe UI"/>
      <family val="2"/>
      <charset val="238"/>
    </font>
    <font>
      <b/>
      <sz val="14"/>
      <color theme="4"/>
      <name val="Calibri"/>
      <family val="2"/>
      <charset val="238"/>
      <scheme val="minor"/>
    </font>
    <font>
      <sz val="11"/>
      <color theme="1" tint="0.499984740745262"/>
      <name val="Calibri"/>
      <family val="2"/>
      <charset val="238"/>
      <scheme val="minor"/>
    </font>
    <font>
      <b/>
      <sz val="14"/>
      <color theme="9"/>
      <name val="Calibri"/>
      <family val="2"/>
      <charset val="238"/>
      <scheme val="minor"/>
    </font>
    <font>
      <b/>
      <sz val="16"/>
      <color theme="0" tint="-0.499984740745262"/>
      <name val="Calibri"/>
      <family val="2"/>
      <charset val="238"/>
      <scheme val="minor"/>
    </font>
    <font>
      <b/>
      <sz val="14"/>
      <color theme="0" tint="-0.499984740745262"/>
      <name val="Calibri"/>
      <family val="2"/>
      <charset val="238"/>
      <scheme val="minor"/>
    </font>
    <font>
      <b/>
      <sz val="14"/>
      <color rgb="FF7030A0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5" fillId="6" borderId="4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10" fillId="6" borderId="5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7" xfId="0" applyFont="1" applyFill="1" applyBorder="1" applyAlignment="1" applyProtection="1">
      <alignment horizontal="left" vertical="center" indent="1"/>
      <protection locked="0"/>
    </xf>
    <xf numFmtId="0" fontId="14" fillId="9" borderId="10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0" fontId="14" fillId="11" borderId="11" xfId="0" applyFont="1" applyFill="1" applyBorder="1" applyAlignment="1" applyProtection="1">
      <alignment horizontal="right" vertical="center" indent="1"/>
      <protection locked="0"/>
    </xf>
    <xf numFmtId="164" fontId="14" fillId="11" borderId="11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3" xfId="0" applyFont="1" applyFill="1" applyBorder="1" applyAlignment="1" applyProtection="1">
      <alignment horizontal="right" vertical="center" indent="1"/>
      <protection locked="0"/>
    </xf>
    <xf numFmtId="0" fontId="14" fillId="12" borderId="14" xfId="0" applyFont="1" applyFill="1" applyBorder="1" applyAlignment="1" applyProtection="1">
      <alignment horizontal="right" vertical="center" indent="1"/>
      <protection locked="0"/>
    </xf>
    <xf numFmtId="164" fontId="14" fillId="12" borderId="13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4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4" xfId="0" applyFont="1" applyFill="1" applyBorder="1" applyAlignment="1" applyProtection="1">
      <alignment horizontal="right" vertical="center" indent="1"/>
      <protection locked="0"/>
    </xf>
    <xf numFmtId="165" fontId="0" fillId="0" borderId="0" xfId="0" applyNumberFormat="1"/>
    <xf numFmtId="0" fontId="17" fillId="0" borderId="0" xfId="0" applyFont="1"/>
    <xf numFmtId="0" fontId="10" fillId="6" borderId="15" xfId="0" applyFont="1" applyFill="1" applyBorder="1" applyAlignment="1" applyProtection="1">
      <alignment horizontal="left" vertical="center" indent="1"/>
      <protection locked="0"/>
    </xf>
    <xf numFmtId="0" fontId="5" fillId="6" borderId="16" xfId="0" applyFont="1" applyFill="1" applyBorder="1" applyAlignment="1" applyProtection="1">
      <alignment horizontal="left" vertical="center" indent="1"/>
      <protection locked="0"/>
    </xf>
    <xf numFmtId="0" fontId="5" fillId="6" borderId="17" xfId="0" applyFont="1" applyFill="1" applyBorder="1" applyAlignment="1" applyProtection="1">
      <alignment horizontal="left" vertical="center" indent="1"/>
      <protection locked="0"/>
    </xf>
    <xf numFmtId="166" fontId="0" fillId="0" borderId="0" xfId="0" applyNumberFormat="1"/>
    <xf numFmtId="0" fontId="0" fillId="0" borderId="0" xfId="0" applyAlignment="1">
      <alignment horizontal="center"/>
    </xf>
    <xf numFmtId="168" fontId="0" fillId="0" borderId="0" xfId="0" applyNumberFormat="1"/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19" fillId="14" borderId="0" xfId="0" applyNumberFormat="1" applyFont="1" applyFill="1" applyAlignment="1">
      <alignment horizontal="center" vertical="center"/>
    </xf>
    <xf numFmtId="169" fontId="0" fillId="0" borderId="0" xfId="0" applyNumberForma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19" fillId="15" borderId="0" xfId="0" applyNumberFormat="1" applyFont="1" applyFill="1" applyAlignment="1">
      <alignment horizontal="center" vertical="center"/>
    </xf>
    <xf numFmtId="0" fontId="14" fillId="12" borderId="14" xfId="0" quotePrefix="1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3" fillId="8" borderId="8" xfId="0" applyFont="1" applyFill="1" applyBorder="1" applyAlignment="1" applyProtection="1">
      <alignment horizontal="center" vertical="center"/>
    </xf>
    <xf numFmtId="0" fontId="13" fillId="8" borderId="9" xfId="0" applyFont="1" applyFill="1" applyBorder="1" applyAlignment="1" applyProtection="1">
      <alignment horizontal="center" vertical="center"/>
    </xf>
    <xf numFmtId="0" fontId="15" fillId="2" borderId="0" xfId="0" applyFont="1" applyFill="1" applyAlignment="1" applyProtection="1">
      <alignment horizontal="left" indent="1"/>
    </xf>
    <xf numFmtId="0" fontId="15" fillId="2" borderId="12" xfId="0" applyFont="1" applyFill="1" applyBorder="1" applyAlignment="1" applyProtection="1">
      <alignment horizontal="left" indent="1"/>
    </xf>
  </cellXfs>
  <cellStyles count="1">
    <cellStyle name="Normá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698C433F-646F-4F01-87C3-C2A190A2B2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UGlimm(t)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jel</c:v>
          </c:tx>
          <c:spPr>
            <a:ln w="22225" cap="rnd">
              <a:solidFill>
                <a:schemeClr val="bg1">
                  <a:lumMod val="95000"/>
                </a:schemeClr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Munka1!$B$3:$B$102</c:f>
              <c:numCache>
                <c:formatCode>;;;</c:formatCode>
                <c:ptCount val="1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</c:numCache>
            </c:numRef>
          </c:xVal>
          <c:yVal>
            <c:numRef>
              <c:f>Munka1!$A$3:$A$102</c:f>
              <c:numCache>
                <c:formatCode>;;;</c:formatCode>
                <c:ptCount val="100"/>
                <c:pt idx="0">
                  <c:v>64.09</c:v>
                </c:pt>
                <c:pt idx="1">
                  <c:v>64.22</c:v>
                </c:pt>
                <c:pt idx="2">
                  <c:v>64.42</c:v>
                </c:pt>
                <c:pt idx="3">
                  <c:v>64.650000000000006</c:v>
                </c:pt>
                <c:pt idx="4">
                  <c:v>64.78</c:v>
                </c:pt>
                <c:pt idx="5">
                  <c:v>65.03</c:v>
                </c:pt>
                <c:pt idx="6">
                  <c:v>65.17</c:v>
                </c:pt>
                <c:pt idx="7">
                  <c:v>65.28</c:v>
                </c:pt>
                <c:pt idx="8">
                  <c:v>65.42</c:v>
                </c:pt>
                <c:pt idx="9">
                  <c:v>65.59</c:v>
                </c:pt>
                <c:pt idx="10">
                  <c:v>65.760000000000005</c:v>
                </c:pt>
                <c:pt idx="11">
                  <c:v>65.91</c:v>
                </c:pt>
                <c:pt idx="12">
                  <c:v>66.09</c:v>
                </c:pt>
                <c:pt idx="13">
                  <c:v>66.290000000000006</c:v>
                </c:pt>
                <c:pt idx="14">
                  <c:v>66.45</c:v>
                </c:pt>
                <c:pt idx="15">
                  <c:v>66.53</c:v>
                </c:pt>
                <c:pt idx="16">
                  <c:v>66.650000000000006</c:v>
                </c:pt>
                <c:pt idx="17">
                  <c:v>66.83</c:v>
                </c:pt>
                <c:pt idx="18">
                  <c:v>67.010000000000005</c:v>
                </c:pt>
                <c:pt idx="19">
                  <c:v>67.11</c:v>
                </c:pt>
                <c:pt idx="20">
                  <c:v>67.28</c:v>
                </c:pt>
                <c:pt idx="21">
                  <c:v>67.430000000000007</c:v>
                </c:pt>
                <c:pt idx="22">
                  <c:v>67.58</c:v>
                </c:pt>
                <c:pt idx="23">
                  <c:v>67.69</c:v>
                </c:pt>
                <c:pt idx="24">
                  <c:v>67.790000000000006</c:v>
                </c:pt>
                <c:pt idx="25">
                  <c:v>67.95</c:v>
                </c:pt>
                <c:pt idx="26">
                  <c:v>68.08</c:v>
                </c:pt>
                <c:pt idx="27">
                  <c:v>68.23</c:v>
                </c:pt>
                <c:pt idx="28">
                  <c:v>68.36</c:v>
                </c:pt>
                <c:pt idx="29">
                  <c:v>68.510000000000005</c:v>
                </c:pt>
                <c:pt idx="30">
                  <c:v>68.650000000000006</c:v>
                </c:pt>
                <c:pt idx="31">
                  <c:v>68.739999999999995</c:v>
                </c:pt>
                <c:pt idx="32">
                  <c:v>68.819999999999993</c:v>
                </c:pt>
                <c:pt idx="33">
                  <c:v>57.45</c:v>
                </c:pt>
                <c:pt idx="34">
                  <c:v>57.45</c:v>
                </c:pt>
                <c:pt idx="35">
                  <c:v>58.17</c:v>
                </c:pt>
                <c:pt idx="36">
                  <c:v>58.41</c:v>
                </c:pt>
                <c:pt idx="37">
                  <c:v>58.66</c:v>
                </c:pt>
                <c:pt idx="38">
                  <c:v>58.9</c:v>
                </c:pt>
                <c:pt idx="39">
                  <c:v>59.12</c:v>
                </c:pt>
                <c:pt idx="40">
                  <c:v>59.28</c:v>
                </c:pt>
                <c:pt idx="41">
                  <c:v>59.45</c:v>
                </c:pt>
                <c:pt idx="42">
                  <c:v>59.69</c:v>
                </c:pt>
                <c:pt idx="43">
                  <c:v>59.87</c:v>
                </c:pt>
                <c:pt idx="44">
                  <c:v>60.01</c:v>
                </c:pt>
                <c:pt idx="45">
                  <c:v>60.28</c:v>
                </c:pt>
                <c:pt idx="46">
                  <c:v>60.48</c:v>
                </c:pt>
                <c:pt idx="47">
                  <c:v>60.58</c:v>
                </c:pt>
                <c:pt idx="48">
                  <c:v>60.84</c:v>
                </c:pt>
                <c:pt idx="49">
                  <c:v>61.04</c:v>
                </c:pt>
                <c:pt idx="50">
                  <c:v>61.25</c:v>
                </c:pt>
                <c:pt idx="51">
                  <c:v>61.48</c:v>
                </c:pt>
                <c:pt idx="52">
                  <c:v>61.65</c:v>
                </c:pt>
                <c:pt idx="53">
                  <c:v>61.76</c:v>
                </c:pt>
                <c:pt idx="54">
                  <c:v>61.94</c:v>
                </c:pt>
                <c:pt idx="55">
                  <c:v>62.19</c:v>
                </c:pt>
                <c:pt idx="56">
                  <c:v>62.33</c:v>
                </c:pt>
                <c:pt idx="57">
                  <c:v>62.52</c:v>
                </c:pt>
                <c:pt idx="58">
                  <c:v>62.78</c:v>
                </c:pt>
                <c:pt idx="59">
                  <c:v>62.87</c:v>
                </c:pt>
                <c:pt idx="60">
                  <c:v>63.02</c:v>
                </c:pt>
                <c:pt idx="61">
                  <c:v>63.28</c:v>
                </c:pt>
                <c:pt idx="62">
                  <c:v>63.43</c:v>
                </c:pt>
                <c:pt idx="63">
                  <c:v>63.57</c:v>
                </c:pt>
                <c:pt idx="64">
                  <c:v>63.81</c:v>
                </c:pt>
                <c:pt idx="65">
                  <c:v>64.05</c:v>
                </c:pt>
                <c:pt idx="66">
                  <c:v>64.11</c:v>
                </c:pt>
                <c:pt idx="67">
                  <c:v>64.290000000000006</c:v>
                </c:pt>
                <c:pt idx="68">
                  <c:v>64.489999999999995</c:v>
                </c:pt>
                <c:pt idx="69">
                  <c:v>64.650000000000006</c:v>
                </c:pt>
                <c:pt idx="70">
                  <c:v>64.760000000000005</c:v>
                </c:pt>
                <c:pt idx="71">
                  <c:v>64.98</c:v>
                </c:pt>
                <c:pt idx="72">
                  <c:v>65.17</c:v>
                </c:pt>
                <c:pt idx="73">
                  <c:v>65.28</c:v>
                </c:pt>
                <c:pt idx="74">
                  <c:v>65.430000000000007</c:v>
                </c:pt>
                <c:pt idx="75">
                  <c:v>65.63</c:v>
                </c:pt>
                <c:pt idx="76">
                  <c:v>65.78</c:v>
                </c:pt>
                <c:pt idx="77">
                  <c:v>65.94</c:v>
                </c:pt>
                <c:pt idx="78">
                  <c:v>66.099999999999994</c:v>
                </c:pt>
                <c:pt idx="79">
                  <c:v>66.3</c:v>
                </c:pt>
                <c:pt idx="80">
                  <c:v>66.45</c:v>
                </c:pt>
                <c:pt idx="81">
                  <c:v>66.56</c:v>
                </c:pt>
                <c:pt idx="82">
                  <c:v>66.7</c:v>
                </c:pt>
                <c:pt idx="83">
                  <c:v>66.900000000000006</c:v>
                </c:pt>
                <c:pt idx="84">
                  <c:v>67.010000000000005</c:v>
                </c:pt>
                <c:pt idx="85">
                  <c:v>67.12</c:v>
                </c:pt>
                <c:pt idx="86">
                  <c:v>67.3</c:v>
                </c:pt>
                <c:pt idx="87">
                  <c:v>67.47</c:v>
                </c:pt>
                <c:pt idx="88">
                  <c:v>67.64</c:v>
                </c:pt>
                <c:pt idx="89">
                  <c:v>67.69</c:v>
                </c:pt>
                <c:pt idx="90">
                  <c:v>67.790000000000006</c:v>
                </c:pt>
                <c:pt idx="91">
                  <c:v>67.95</c:v>
                </c:pt>
                <c:pt idx="92">
                  <c:v>68.16</c:v>
                </c:pt>
                <c:pt idx="93">
                  <c:v>68.22</c:v>
                </c:pt>
                <c:pt idx="94">
                  <c:v>68.400000000000006</c:v>
                </c:pt>
                <c:pt idx="95">
                  <c:v>68.47</c:v>
                </c:pt>
                <c:pt idx="96">
                  <c:v>68.63</c:v>
                </c:pt>
                <c:pt idx="97">
                  <c:v>68.760000000000005</c:v>
                </c:pt>
                <c:pt idx="98">
                  <c:v>64.83</c:v>
                </c:pt>
                <c:pt idx="99">
                  <c:v>57.45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95-4CB1-B0F4-3B6A5D154220}"/>
            </c:ext>
          </c:extLst>
        </c:ser>
        <c:ser>
          <c:idx val="1"/>
          <c:order val="1"/>
          <c:tx>
            <c:v>Zero</c:v>
          </c:tx>
          <c:spPr>
            <a:ln w="22225" cap="rnd">
              <a:solidFill>
                <a:schemeClr val="bg1">
                  <a:lumMod val="65000"/>
                </a:schemeClr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Munka1!$B$3:$B$102</c:f>
              <c:numCache>
                <c:formatCode>;;;</c:formatCode>
                <c:ptCount val="1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</c:numCache>
            </c:numRef>
          </c:xVal>
          <c:yVal>
            <c:numRef>
              <c:f>Munka1!$X$2:$X$100</c:f>
              <c:numCache>
                <c:formatCode>;;;</c:formatCode>
                <c:ptCount val="99"/>
                <c:pt idx="0">
                  <c:v>74.2</c:v>
                </c:pt>
                <c:pt idx="1">
                  <c:v>74.2</c:v>
                </c:pt>
                <c:pt idx="2">
                  <c:v>74.2</c:v>
                </c:pt>
                <c:pt idx="3">
                  <c:v>74.2</c:v>
                </c:pt>
                <c:pt idx="4">
                  <c:v>74.2</c:v>
                </c:pt>
                <c:pt idx="5">
                  <c:v>74.2</c:v>
                </c:pt>
                <c:pt idx="6">
                  <c:v>74.2</c:v>
                </c:pt>
                <c:pt idx="7">
                  <c:v>74.2</c:v>
                </c:pt>
                <c:pt idx="8">
                  <c:v>74.2</c:v>
                </c:pt>
                <c:pt idx="9">
                  <c:v>74.2</c:v>
                </c:pt>
                <c:pt idx="10">
                  <c:v>74.2</c:v>
                </c:pt>
                <c:pt idx="11">
                  <c:v>74.2</c:v>
                </c:pt>
                <c:pt idx="12">
                  <c:v>74.2</c:v>
                </c:pt>
                <c:pt idx="13">
                  <c:v>74.2</c:v>
                </c:pt>
                <c:pt idx="14">
                  <c:v>74.2</c:v>
                </c:pt>
                <c:pt idx="15">
                  <c:v>74.2</c:v>
                </c:pt>
                <c:pt idx="16">
                  <c:v>74.2</c:v>
                </c:pt>
                <c:pt idx="17">
                  <c:v>74.2</c:v>
                </c:pt>
                <c:pt idx="18">
                  <c:v>74.2</c:v>
                </c:pt>
                <c:pt idx="19">
                  <c:v>74.2</c:v>
                </c:pt>
                <c:pt idx="20">
                  <c:v>74.2</c:v>
                </c:pt>
                <c:pt idx="21">
                  <c:v>74.2</c:v>
                </c:pt>
                <c:pt idx="22">
                  <c:v>74.2</c:v>
                </c:pt>
                <c:pt idx="23">
                  <c:v>74.2</c:v>
                </c:pt>
                <c:pt idx="24">
                  <c:v>74.2</c:v>
                </c:pt>
                <c:pt idx="25">
                  <c:v>74.2</c:v>
                </c:pt>
                <c:pt idx="26">
                  <c:v>74.2</c:v>
                </c:pt>
                <c:pt idx="27">
                  <c:v>74.2</c:v>
                </c:pt>
                <c:pt idx="28">
                  <c:v>74.2</c:v>
                </c:pt>
                <c:pt idx="29">
                  <c:v>74.2</c:v>
                </c:pt>
                <c:pt idx="30">
                  <c:v>74.2</c:v>
                </c:pt>
                <c:pt idx="31">
                  <c:v>74.2</c:v>
                </c:pt>
                <c:pt idx="32">
                  <c:v>74.2</c:v>
                </c:pt>
                <c:pt idx="33">
                  <c:v>74.2</c:v>
                </c:pt>
                <c:pt idx="34">
                  <c:v>74.2</c:v>
                </c:pt>
                <c:pt idx="35">
                  <c:v>74.2</c:v>
                </c:pt>
                <c:pt idx="36">
                  <c:v>74.2</c:v>
                </c:pt>
                <c:pt idx="37">
                  <c:v>74.2</c:v>
                </c:pt>
                <c:pt idx="38">
                  <c:v>74.2</c:v>
                </c:pt>
                <c:pt idx="39">
                  <c:v>74.2</c:v>
                </c:pt>
                <c:pt idx="40">
                  <c:v>74.2</c:v>
                </c:pt>
                <c:pt idx="41">
                  <c:v>74.2</c:v>
                </c:pt>
                <c:pt idx="42">
                  <c:v>74.2</c:v>
                </c:pt>
                <c:pt idx="43">
                  <c:v>74.2</c:v>
                </c:pt>
                <c:pt idx="44">
                  <c:v>74.2</c:v>
                </c:pt>
                <c:pt idx="45">
                  <c:v>74.2</c:v>
                </c:pt>
                <c:pt idx="46">
                  <c:v>74.2</c:v>
                </c:pt>
                <c:pt idx="47">
                  <c:v>74.2</c:v>
                </c:pt>
                <c:pt idx="48">
                  <c:v>74.2</c:v>
                </c:pt>
                <c:pt idx="49">
                  <c:v>74.2</c:v>
                </c:pt>
                <c:pt idx="50">
                  <c:v>74.2</c:v>
                </c:pt>
                <c:pt idx="51">
                  <c:v>74.2</c:v>
                </c:pt>
                <c:pt idx="52">
                  <c:v>74.2</c:v>
                </c:pt>
                <c:pt idx="53">
                  <c:v>74.2</c:v>
                </c:pt>
                <c:pt idx="54">
                  <c:v>74.2</c:v>
                </c:pt>
                <c:pt idx="55">
                  <c:v>74.2</c:v>
                </c:pt>
                <c:pt idx="56">
                  <c:v>74.2</c:v>
                </c:pt>
                <c:pt idx="57">
                  <c:v>74.2</c:v>
                </c:pt>
                <c:pt idx="58">
                  <c:v>74.2</c:v>
                </c:pt>
                <c:pt idx="59">
                  <c:v>74.2</c:v>
                </c:pt>
                <c:pt idx="60">
                  <c:v>74.2</c:v>
                </c:pt>
                <c:pt idx="61">
                  <c:v>74.2</c:v>
                </c:pt>
                <c:pt idx="62">
                  <c:v>74.2</c:v>
                </c:pt>
                <c:pt idx="63">
                  <c:v>74.2</c:v>
                </c:pt>
                <c:pt idx="64">
                  <c:v>74.2</c:v>
                </c:pt>
                <c:pt idx="65">
                  <c:v>74.2</c:v>
                </c:pt>
                <c:pt idx="66">
                  <c:v>74.2</c:v>
                </c:pt>
                <c:pt idx="67">
                  <c:v>74.2</c:v>
                </c:pt>
                <c:pt idx="68">
                  <c:v>74.2</c:v>
                </c:pt>
                <c:pt idx="69">
                  <c:v>74.2</c:v>
                </c:pt>
                <c:pt idx="70">
                  <c:v>74.2</c:v>
                </c:pt>
                <c:pt idx="71">
                  <c:v>74.2</c:v>
                </c:pt>
                <c:pt idx="72">
                  <c:v>74.2</c:v>
                </c:pt>
                <c:pt idx="73">
                  <c:v>74.2</c:v>
                </c:pt>
                <c:pt idx="74">
                  <c:v>74.2</c:v>
                </c:pt>
                <c:pt idx="75">
                  <c:v>74.2</c:v>
                </c:pt>
                <c:pt idx="76">
                  <c:v>74.2</c:v>
                </c:pt>
                <c:pt idx="77">
                  <c:v>74.2</c:v>
                </c:pt>
                <c:pt idx="78">
                  <c:v>74.2</c:v>
                </c:pt>
                <c:pt idx="79">
                  <c:v>74.2</c:v>
                </c:pt>
                <c:pt idx="80">
                  <c:v>74.2</c:v>
                </c:pt>
                <c:pt idx="81">
                  <c:v>74.2</c:v>
                </c:pt>
                <c:pt idx="82">
                  <c:v>74.2</c:v>
                </c:pt>
                <c:pt idx="83">
                  <c:v>74.2</c:v>
                </c:pt>
                <c:pt idx="84">
                  <c:v>74.2</c:v>
                </c:pt>
                <c:pt idx="85">
                  <c:v>74.2</c:v>
                </c:pt>
                <c:pt idx="86">
                  <c:v>74.2</c:v>
                </c:pt>
                <c:pt idx="87">
                  <c:v>74.2</c:v>
                </c:pt>
                <c:pt idx="88">
                  <c:v>74.2</c:v>
                </c:pt>
                <c:pt idx="89">
                  <c:v>74.2</c:v>
                </c:pt>
                <c:pt idx="90">
                  <c:v>74.2</c:v>
                </c:pt>
                <c:pt idx="91">
                  <c:v>74.2</c:v>
                </c:pt>
                <c:pt idx="92">
                  <c:v>74.2</c:v>
                </c:pt>
                <c:pt idx="93">
                  <c:v>74.2</c:v>
                </c:pt>
                <c:pt idx="94">
                  <c:v>74.2</c:v>
                </c:pt>
                <c:pt idx="95">
                  <c:v>74.2</c:v>
                </c:pt>
                <c:pt idx="96">
                  <c:v>74.2</c:v>
                </c:pt>
                <c:pt idx="97">
                  <c:v>74.2</c:v>
                </c:pt>
                <c:pt idx="98">
                  <c:v>74.2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95-4CB1-B0F4-3B6A5D154220}"/>
            </c:ext>
          </c:extLst>
        </c:ser>
        <c:ser>
          <c:idx val="2"/>
          <c:order val="2"/>
          <c:tx>
            <c:v>G</c:v>
          </c:tx>
          <c:spPr>
            <a:ln w="22225" cap="rnd">
              <a:solidFill>
                <a:srgbClr val="92D050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Munka1!$B$3:$B$102</c:f>
              <c:numCache>
                <c:formatCode>;;;</c:formatCode>
                <c:ptCount val="1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</c:numCache>
            </c:numRef>
          </c:xVal>
          <c:yVal>
            <c:numRef>
              <c:f>Munka1!$Y$2:$Y$100</c:f>
              <c:numCache>
                <c:formatCode>;;;</c:formatCode>
                <c:ptCount val="99"/>
                <c:pt idx="0">
                  <c:v>70.8</c:v>
                </c:pt>
                <c:pt idx="1">
                  <c:v>70.8</c:v>
                </c:pt>
                <c:pt idx="2">
                  <c:v>70.8</c:v>
                </c:pt>
                <c:pt idx="3">
                  <c:v>70.8</c:v>
                </c:pt>
                <c:pt idx="4">
                  <c:v>70.8</c:v>
                </c:pt>
                <c:pt idx="5">
                  <c:v>70.8</c:v>
                </c:pt>
                <c:pt idx="6">
                  <c:v>70.8</c:v>
                </c:pt>
                <c:pt idx="7">
                  <c:v>70.8</c:v>
                </c:pt>
                <c:pt idx="8">
                  <c:v>70.8</c:v>
                </c:pt>
                <c:pt idx="9">
                  <c:v>70.8</c:v>
                </c:pt>
                <c:pt idx="10">
                  <c:v>70.8</c:v>
                </c:pt>
                <c:pt idx="11">
                  <c:v>70.8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70.8</c:v>
                </c:pt>
                <c:pt idx="17">
                  <c:v>70.8</c:v>
                </c:pt>
                <c:pt idx="18">
                  <c:v>70.8</c:v>
                </c:pt>
                <c:pt idx="19">
                  <c:v>70.8</c:v>
                </c:pt>
                <c:pt idx="20">
                  <c:v>70.8</c:v>
                </c:pt>
                <c:pt idx="21">
                  <c:v>70.8</c:v>
                </c:pt>
                <c:pt idx="22">
                  <c:v>70.8</c:v>
                </c:pt>
                <c:pt idx="23">
                  <c:v>70.8</c:v>
                </c:pt>
                <c:pt idx="24">
                  <c:v>70.8</c:v>
                </c:pt>
                <c:pt idx="25">
                  <c:v>70.8</c:v>
                </c:pt>
                <c:pt idx="26">
                  <c:v>70.8</c:v>
                </c:pt>
                <c:pt idx="27">
                  <c:v>70.8</c:v>
                </c:pt>
                <c:pt idx="28">
                  <c:v>70.8</c:v>
                </c:pt>
                <c:pt idx="29">
                  <c:v>70.8</c:v>
                </c:pt>
                <c:pt idx="30">
                  <c:v>70.8</c:v>
                </c:pt>
                <c:pt idx="31">
                  <c:v>70.8</c:v>
                </c:pt>
                <c:pt idx="32">
                  <c:v>70.8</c:v>
                </c:pt>
                <c:pt idx="33">
                  <c:v>70.8</c:v>
                </c:pt>
                <c:pt idx="34">
                  <c:v>70.8</c:v>
                </c:pt>
                <c:pt idx="35">
                  <c:v>70.8</c:v>
                </c:pt>
                <c:pt idx="36">
                  <c:v>70.8</c:v>
                </c:pt>
                <c:pt idx="37">
                  <c:v>70.8</c:v>
                </c:pt>
                <c:pt idx="38">
                  <c:v>70.8</c:v>
                </c:pt>
                <c:pt idx="39">
                  <c:v>70.8</c:v>
                </c:pt>
                <c:pt idx="40">
                  <c:v>70.8</c:v>
                </c:pt>
                <c:pt idx="41">
                  <c:v>70.8</c:v>
                </c:pt>
                <c:pt idx="42">
                  <c:v>70.8</c:v>
                </c:pt>
                <c:pt idx="43">
                  <c:v>70.8</c:v>
                </c:pt>
                <c:pt idx="44">
                  <c:v>70.8</c:v>
                </c:pt>
                <c:pt idx="45">
                  <c:v>70.8</c:v>
                </c:pt>
                <c:pt idx="46">
                  <c:v>70.8</c:v>
                </c:pt>
                <c:pt idx="47">
                  <c:v>70.8</c:v>
                </c:pt>
                <c:pt idx="48">
                  <c:v>70.8</c:v>
                </c:pt>
                <c:pt idx="49">
                  <c:v>70.8</c:v>
                </c:pt>
                <c:pt idx="50">
                  <c:v>70.8</c:v>
                </c:pt>
                <c:pt idx="51">
                  <c:v>70.8</c:v>
                </c:pt>
                <c:pt idx="52">
                  <c:v>70.8</c:v>
                </c:pt>
                <c:pt idx="53">
                  <c:v>70.8</c:v>
                </c:pt>
                <c:pt idx="54">
                  <c:v>70.8</c:v>
                </c:pt>
                <c:pt idx="55">
                  <c:v>70.8</c:v>
                </c:pt>
                <c:pt idx="56">
                  <c:v>70.8</c:v>
                </c:pt>
                <c:pt idx="57">
                  <c:v>70.8</c:v>
                </c:pt>
                <c:pt idx="58">
                  <c:v>70.8</c:v>
                </c:pt>
                <c:pt idx="59">
                  <c:v>70.8</c:v>
                </c:pt>
                <c:pt idx="60">
                  <c:v>70.8</c:v>
                </c:pt>
                <c:pt idx="61">
                  <c:v>70.8</c:v>
                </c:pt>
                <c:pt idx="62">
                  <c:v>70.8</c:v>
                </c:pt>
                <c:pt idx="63">
                  <c:v>70.8</c:v>
                </c:pt>
                <c:pt idx="64">
                  <c:v>70.8</c:v>
                </c:pt>
                <c:pt idx="65">
                  <c:v>70.8</c:v>
                </c:pt>
                <c:pt idx="66">
                  <c:v>70.8</c:v>
                </c:pt>
                <c:pt idx="67">
                  <c:v>70.8</c:v>
                </c:pt>
                <c:pt idx="68">
                  <c:v>70.8</c:v>
                </c:pt>
                <c:pt idx="69">
                  <c:v>70.8</c:v>
                </c:pt>
                <c:pt idx="70">
                  <c:v>70.8</c:v>
                </c:pt>
                <c:pt idx="71">
                  <c:v>70.8</c:v>
                </c:pt>
                <c:pt idx="72">
                  <c:v>70.8</c:v>
                </c:pt>
                <c:pt idx="73">
                  <c:v>70.8</c:v>
                </c:pt>
                <c:pt idx="74">
                  <c:v>70.8</c:v>
                </c:pt>
                <c:pt idx="75">
                  <c:v>70.8</c:v>
                </c:pt>
                <c:pt idx="76">
                  <c:v>70.8</c:v>
                </c:pt>
                <c:pt idx="77">
                  <c:v>70.8</c:v>
                </c:pt>
                <c:pt idx="78">
                  <c:v>70.8</c:v>
                </c:pt>
                <c:pt idx="79">
                  <c:v>70.8</c:v>
                </c:pt>
                <c:pt idx="80">
                  <c:v>70.8</c:v>
                </c:pt>
                <c:pt idx="81">
                  <c:v>70.8</c:v>
                </c:pt>
                <c:pt idx="82">
                  <c:v>70.8</c:v>
                </c:pt>
                <c:pt idx="83">
                  <c:v>70.8</c:v>
                </c:pt>
                <c:pt idx="84">
                  <c:v>70.8</c:v>
                </c:pt>
                <c:pt idx="85">
                  <c:v>70.8</c:v>
                </c:pt>
                <c:pt idx="86">
                  <c:v>70.8</c:v>
                </c:pt>
                <c:pt idx="87">
                  <c:v>70.8</c:v>
                </c:pt>
                <c:pt idx="88">
                  <c:v>70.8</c:v>
                </c:pt>
                <c:pt idx="89">
                  <c:v>70.8</c:v>
                </c:pt>
                <c:pt idx="90">
                  <c:v>70.8</c:v>
                </c:pt>
                <c:pt idx="91">
                  <c:v>70.8</c:v>
                </c:pt>
                <c:pt idx="92">
                  <c:v>70.8</c:v>
                </c:pt>
                <c:pt idx="93">
                  <c:v>70.8</c:v>
                </c:pt>
                <c:pt idx="94">
                  <c:v>70.8</c:v>
                </c:pt>
                <c:pt idx="95">
                  <c:v>70.8</c:v>
                </c:pt>
                <c:pt idx="96">
                  <c:v>70.8</c:v>
                </c:pt>
                <c:pt idx="97">
                  <c:v>70.8</c:v>
                </c:pt>
                <c:pt idx="98">
                  <c:v>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95-4CB1-B0F4-3B6A5D154220}"/>
            </c:ext>
          </c:extLst>
        </c:ser>
        <c:ser>
          <c:idx val="3"/>
          <c:order val="3"/>
          <c:tx>
            <c:v>B</c:v>
          </c:tx>
          <c:spPr>
            <a:ln w="22225" cap="rnd">
              <a:solidFill>
                <a:srgbClr val="00B0F0"/>
              </a:solidFill>
            </a:ln>
            <a:effectLst>
              <a:glow rad="139700">
                <a:schemeClr val="accent6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Munka1!$B$3:$B$102</c:f>
              <c:numCache>
                <c:formatCode>;;;</c:formatCode>
                <c:ptCount val="1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</c:numCache>
            </c:numRef>
          </c:xVal>
          <c:yVal>
            <c:numRef>
              <c:f>Munka1!$Z$2:$Z$100</c:f>
              <c:numCache>
                <c:formatCode>;;;</c:formatCode>
                <c:ptCount val="99"/>
                <c:pt idx="0">
                  <c:v>68.900000000000006</c:v>
                </c:pt>
                <c:pt idx="1">
                  <c:v>68.900000000000006</c:v>
                </c:pt>
                <c:pt idx="2">
                  <c:v>68.900000000000006</c:v>
                </c:pt>
                <c:pt idx="3">
                  <c:v>68.900000000000006</c:v>
                </c:pt>
                <c:pt idx="4">
                  <c:v>68.900000000000006</c:v>
                </c:pt>
                <c:pt idx="5">
                  <c:v>68.900000000000006</c:v>
                </c:pt>
                <c:pt idx="6">
                  <c:v>68.900000000000006</c:v>
                </c:pt>
                <c:pt idx="7">
                  <c:v>68.900000000000006</c:v>
                </c:pt>
                <c:pt idx="8">
                  <c:v>68.900000000000006</c:v>
                </c:pt>
                <c:pt idx="9">
                  <c:v>68.900000000000006</c:v>
                </c:pt>
                <c:pt idx="10">
                  <c:v>68.900000000000006</c:v>
                </c:pt>
                <c:pt idx="11">
                  <c:v>68.900000000000006</c:v>
                </c:pt>
                <c:pt idx="12">
                  <c:v>68.900000000000006</c:v>
                </c:pt>
                <c:pt idx="13">
                  <c:v>68.900000000000006</c:v>
                </c:pt>
                <c:pt idx="14">
                  <c:v>68.900000000000006</c:v>
                </c:pt>
                <c:pt idx="15">
                  <c:v>68.900000000000006</c:v>
                </c:pt>
                <c:pt idx="16">
                  <c:v>68.900000000000006</c:v>
                </c:pt>
                <c:pt idx="17">
                  <c:v>68.900000000000006</c:v>
                </c:pt>
                <c:pt idx="18">
                  <c:v>68.900000000000006</c:v>
                </c:pt>
                <c:pt idx="19">
                  <c:v>68.900000000000006</c:v>
                </c:pt>
                <c:pt idx="20">
                  <c:v>68.900000000000006</c:v>
                </c:pt>
                <c:pt idx="21">
                  <c:v>68.900000000000006</c:v>
                </c:pt>
                <c:pt idx="22">
                  <c:v>68.900000000000006</c:v>
                </c:pt>
                <c:pt idx="23">
                  <c:v>68.900000000000006</c:v>
                </c:pt>
                <c:pt idx="24">
                  <c:v>68.900000000000006</c:v>
                </c:pt>
                <c:pt idx="25">
                  <c:v>68.900000000000006</c:v>
                </c:pt>
                <c:pt idx="26">
                  <c:v>68.900000000000006</c:v>
                </c:pt>
                <c:pt idx="27">
                  <c:v>68.900000000000006</c:v>
                </c:pt>
                <c:pt idx="28">
                  <c:v>68.900000000000006</c:v>
                </c:pt>
                <c:pt idx="29">
                  <c:v>68.900000000000006</c:v>
                </c:pt>
                <c:pt idx="30">
                  <c:v>68.900000000000006</c:v>
                </c:pt>
                <c:pt idx="31">
                  <c:v>68.900000000000006</c:v>
                </c:pt>
                <c:pt idx="32">
                  <c:v>68.900000000000006</c:v>
                </c:pt>
                <c:pt idx="33">
                  <c:v>68.900000000000006</c:v>
                </c:pt>
                <c:pt idx="34">
                  <c:v>68.900000000000006</c:v>
                </c:pt>
                <c:pt idx="35">
                  <c:v>68.900000000000006</c:v>
                </c:pt>
                <c:pt idx="36">
                  <c:v>68.900000000000006</c:v>
                </c:pt>
                <c:pt idx="37">
                  <c:v>68.900000000000006</c:v>
                </c:pt>
                <c:pt idx="38">
                  <c:v>68.900000000000006</c:v>
                </c:pt>
                <c:pt idx="39">
                  <c:v>68.900000000000006</c:v>
                </c:pt>
                <c:pt idx="40">
                  <c:v>68.900000000000006</c:v>
                </c:pt>
                <c:pt idx="41">
                  <c:v>68.900000000000006</c:v>
                </c:pt>
                <c:pt idx="42">
                  <c:v>68.900000000000006</c:v>
                </c:pt>
                <c:pt idx="43">
                  <c:v>68.900000000000006</c:v>
                </c:pt>
                <c:pt idx="44">
                  <c:v>68.900000000000006</c:v>
                </c:pt>
                <c:pt idx="45">
                  <c:v>68.900000000000006</c:v>
                </c:pt>
                <c:pt idx="46">
                  <c:v>68.900000000000006</c:v>
                </c:pt>
                <c:pt idx="47">
                  <c:v>68.900000000000006</c:v>
                </c:pt>
                <c:pt idx="48">
                  <c:v>68.900000000000006</c:v>
                </c:pt>
                <c:pt idx="49">
                  <c:v>68.900000000000006</c:v>
                </c:pt>
                <c:pt idx="50">
                  <c:v>68.900000000000006</c:v>
                </c:pt>
                <c:pt idx="51">
                  <c:v>68.900000000000006</c:v>
                </c:pt>
                <c:pt idx="52">
                  <c:v>68.900000000000006</c:v>
                </c:pt>
                <c:pt idx="53">
                  <c:v>68.900000000000006</c:v>
                </c:pt>
                <c:pt idx="54">
                  <c:v>68.900000000000006</c:v>
                </c:pt>
                <c:pt idx="55">
                  <c:v>68.900000000000006</c:v>
                </c:pt>
                <c:pt idx="56">
                  <c:v>68.900000000000006</c:v>
                </c:pt>
                <c:pt idx="57">
                  <c:v>68.900000000000006</c:v>
                </c:pt>
                <c:pt idx="58">
                  <c:v>68.900000000000006</c:v>
                </c:pt>
                <c:pt idx="59">
                  <c:v>68.900000000000006</c:v>
                </c:pt>
                <c:pt idx="60">
                  <c:v>68.900000000000006</c:v>
                </c:pt>
                <c:pt idx="61">
                  <c:v>68.900000000000006</c:v>
                </c:pt>
                <c:pt idx="62">
                  <c:v>68.900000000000006</c:v>
                </c:pt>
                <c:pt idx="63">
                  <c:v>68.900000000000006</c:v>
                </c:pt>
                <c:pt idx="64">
                  <c:v>68.900000000000006</c:v>
                </c:pt>
                <c:pt idx="65">
                  <c:v>68.900000000000006</c:v>
                </c:pt>
                <c:pt idx="66">
                  <c:v>68.900000000000006</c:v>
                </c:pt>
                <c:pt idx="67">
                  <c:v>68.900000000000006</c:v>
                </c:pt>
                <c:pt idx="68">
                  <c:v>68.900000000000006</c:v>
                </c:pt>
                <c:pt idx="69">
                  <c:v>68.900000000000006</c:v>
                </c:pt>
                <c:pt idx="70">
                  <c:v>68.900000000000006</c:v>
                </c:pt>
                <c:pt idx="71">
                  <c:v>68.900000000000006</c:v>
                </c:pt>
                <c:pt idx="72">
                  <c:v>68.900000000000006</c:v>
                </c:pt>
                <c:pt idx="73">
                  <c:v>68.900000000000006</c:v>
                </c:pt>
                <c:pt idx="74">
                  <c:v>68.900000000000006</c:v>
                </c:pt>
                <c:pt idx="75">
                  <c:v>68.900000000000006</c:v>
                </c:pt>
                <c:pt idx="76">
                  <c:v>68.900000000000006</c:v>
                </c:pt>
                <c:pt idx="77">
                  <c:v>68.900000000000006</c:v>
                </c:pt>
                <c:pt idx="78">
                  <c:v>68.900000000000006</c:v>
                </c:pt>
                <c:pt idx="79">
                  <c:v>68.900000000000006</c:v>
                </c:pt>
                <c:pt idx="80">
                  <c:v>68.900000000000006</c:v>
                </c:pt>
                <c:pt idx="81">
                  <c:v>68.900000000000006</c:v>
                </c:pt>
                <c:pt idx="82">
                  <c:v>68.900000000000006</c:v>
                </c:pt>
                <c:pt idx="83">
                  <c:v>68.900000000000006</c:v>
                </c:pt>
                <c:pt idx="84">
                  <c:v>68.900000000000006</c:v>
                </c:pt>
                <c:pt idx="85">
                  <c:v>68.900000000000006</c:v>
                </c:pt>
                <c:pt idx="86">
                  <c:v>68.900000000000006</c:v>
                </c:pt>
                <c:pt idx="87">
                  <c:v>68.900000000000006</c:v>
                </c:pt>
                <c:pt idx="88">
                  <c:v>68.900000000000006</c:v>
                </c:pt>
                <c:pt idx="89">
                  <c:v>68.900000000000006</c:v>
                </c:pt>
                <c:pt idx="90">
                  <c:v>68.900000000000006</c:v>
                </c:pt>
                <c:pt idx="91">
                  <c:v>68.900000000000006</c:v>
                </c:pt>
                <c:pt idx="92">
                  <c:v>68.900000000000006</c:v>
                </c:pt>
                <c:pt idx="93">
                  <c:v>68.900000000000006</c:v>
                </c:pt>
                <c:pt idx="94">
                  <c:v>68.900000000000006</c:v>
                </c:pt>
                <c:pt idx="95">
                  <c:v>68.900000000000006</c:v>
                </c:pt>
                <c:pt idx="96">
                  <c:v>68.900000000000006</c:v>
                </c:pt>
                <c:pt idx="97">
                  <c:v>68.900000000000006</c:v>
                </c:pt>
                <c:pt idx="98">
                  <c:v>68.900000000000006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0-4246-A063-557C0DF262A5}"/>
            </c:ext>
          </c:extLst>
        </c:ser>
        <c:ser>
          <c:idx val="4"/>
          <c:order val="4"/>
          <c:tx>
            <c:v>UV</c:v>
          </c:tx>
          <c:spPr>
            <a:ln w="22225" cap="rnd">
              <a:solidFill>
                <a:srgbClr val="7030A0"/>
              </a:solidFill>
            </a:ln>
            <a:effectLst>
              <a:glow rad="139700">
                <a:schemeClr val="accent5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Munka1!$B$3:$B$102</c:f>
              <c:numCache>
                <c:formatCode>;;;</c:formatCode>
                <c:ptCount val="1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</c:numCache>
            </c:numRef>
          </c:xVal>
          <c:yVal>
            <c:numRef>
              <c:f>Munka1!$AA$2:$AA$100</c:f>
              <c:numCache>
                <c:formatCode>;;;</c:formatCode>
                <c:ptCount val="99"/>
                <c:pt idx="0">
                  <c:v>63.9</c:v>
                </c:pt>
                <c:pt idx="1">
                  <c:v>63.9</c:v>
                </c:pt>
                <c:pt idx="2">
                  <c:v>63.9</c:v>
                </c:pt>
                <c:pt idx="3">
                  <c:v>63.9</c:v>
                </c:pt>
                <c:pt idx="4">
                  <c:v>63.9</c:v>
                </c:pt>
                <c:pt idx="5">
                  <c:v>63.9</c:v>
                </c:pt>
                <c:pt idx="6">
                  <c:v>63.9</c:v>
                </c:pt>
                <c:pt idx="7">
                  <c:v>63.9</c:v>
                </c:pt>
                <c:pt idx="8">
                  <c:v>63.9</c:v>
                </c:pt>
                <c:pt idx="9">
                  <c:v>63.9</c:v>
                </c:pt>
                <c:pt idx="10">
                  <c:v>63.9</c:v>
                </c:pt>
                <c:pt idx="11">
                  <c:v>63.9</c:v>
                </c:pt>
                <c:pt idx="12">
                  <c:v>63.9</c:v>
                </c:pt>
                <c:pt idx="13">
                  <c:v>63.9</c:v>
                </c:pt>
                <c:pt idx="14">
                  <c:v>63.9</c:v>
                </c:pt>
                <c:pt idx="15">
                  <c:v>63.9</c:v>
                </c:pt>
                <c:pt idx="16">
                  <c:v>63.9</c:v>
                </c:pt>
                <c:pt idx="17">
                  <c:v>63.9</c:v>
                </c:pt>
                <c:pt idx="18">
                  <c:v>63.9</c:v>
                </c:pt>
                <c:pt idx="19">
                  <c:v>63.9</c:v>
                </c:pt>
                <c:pt idx="20">
                  <c:v>63.9</c:v>
                </c:pt>
                <c:pt idx="21">
                  <c:v>63.9</c:v>
                </c:pt>
                <c:pt idx="22">
                  <c:v>63.9</c:v>
                </c:pt>
                <c:pt idx="23">
                  <c:v>63.9</c:v>
                </c:pt>
                <c:pt idx="24">
                  <c:v>63.9</c:v>
                </c:pt>
                <c:pt idx="25">
                  <c:v>63.9</c:v>
                </c:pt>
                <c:pt idx="26">
                  <c:v>63.9</c:v>
                </c:pt>
                <c:pt idx="27">
                  <c:v>63.9</c:v>
                </c:pt>
                <c:pt idx="28">
                  <c:v>63.9</c:v>
                </c:pt>
                <c:pt idx="29">
                  <c:v>63.9</c:v>
                </c:pt>
                <c:pt idx="30">
                  <c:v>63.9</c:v>
                </c:pt>
                <c:pt idx="31">
                  <c:v>63.9</c:v>
                </c:pt>
                <c:pt idx="32">
                  <c:v>63.9</c:v>
                </c:pt>
                <c:pt idx="33">
                  <c:v>63.9</c:v>
                </c:pt>
                <c:pt idx="34">
                  <c:v>63.9</c:v>
                </c:pt>
                <c:pt idx="35">
                  <c:v>63.9</c:v>
                </c:pt>
                <c:pt idx="36">
                  <c:v>63.9</c:v>
                </c:pt>
                <c:pt idx="37">
                  <c:v>63.9</c:v>
                </c:pt>
                <c:pt idx="38">
                  <c:v>63.9</c:v>
                </c:pt>
                <c:pt idx="39">
                  <c:v>63.9</c:v>
                </c:pt>
                <c:pt idx="40">
                  <c:v>63.9</c:v>
                </c:pt>
                <c:pt idx="41">
                  <c:v>63.9</c:v>
                </c:pt>
                <c:pt idx="42">
                  <c:v>63.9</c:v>
                </c:pt>
                <c:pt idx="43">
                  <c:v>63.9</c:v>
                </c:pt>
                <c:pt idx="44">
                  <c:v>63.9</c:v>
                </c:pt>
                <c:pt idx="45">
                  <c:v>63.9</c:v>
                </c:pt>
                <c:pt idx="46">
                  <c:v>63.9</c:v>
                </c:pt>
                <c:pt idx="47">
                  <c:v>63.9</c:v>
                </c:pt>
                <c:pt idx="48">
                  <c:v>63.9</c:v>
                </c:pt>
                <c:pt idx="49">
                  <c:v>63.9</c:v>
                </c:pt>
                <c:pt idx="50">
                  <c:v>63.9</c:v>
                </c:pt>
                <c:pt idx="51">
                  <c:v>63.9</c:v>
                </c:pt>
                <c:pt idx="52">
                  <c:v>63.9</c:v>
                </c:pt>
                <c:pt idx="53">
                  <c:v>63.9</c:v>
                </c:pt>
                <c:pt idx="54">
                  <c:v>63.9</c:v>
                </c:pt>
                <c:pt idx="55">
                  <c:v>63.9</c:v>
                </c:pt>
                <c:pt idx="56">
                  <c:v>63.9</c:v>
                </c:pt>
                <c:pt idx="57">
                  <c:v>63.9</c:v>
                </c:pt>
                <c:pt idx="58">
                  <c:v>63.9</c:v>
                </c:pt>
                <c:pt idx="59">
                  <c:v>63.9</c:v>
                </c:pt>
                <c:pt idx="60">
                  <c:v>63.9</c:v>
                </c:pt>
                <c:pt idx="61">
                  <c:v>63.9</c:v>
                </c:pt>
                <c:pt idx="62">
                  <c:v>63.9</c:v>
                </c:pt>
                <c:pt idx="63">
                  <c:v>63.9</c:v>
                </c:pt>
                <c:pt idx="64">
                  <c:v>63.9</c:v>
                </c:pt>
                <c:pt idx="65">
                  <c:v>63.9</c:v>
                </c:pt>
                <c:pt idx="66">
                  <c:v>63.9</c:v>
                </c:pt>
                <c:pt idx="67">
                  <c:v>63.9</c:v>
                </c:pt>
                <c:pt idx="68">
                  <c:v>63.9</c:v>
                </c:pt>
                <c:pt idx="69">
                  <c:v>63.9</c:v>
                </c:pt>
                <c:pt idx="70">
                  <c:v>63.9</c:v>
                </c:pt>
                <c:pt idx="71">
                  <c:v>63.9</c:v>
                </c:pt>
                <c:pt idx="72">
                  <c:v>63.9</c:v>
                </c:pt>
                <c:pt idx="73">
                  <c:v>63.9</c:v>
                </c:pt>
                <c:pt idx="74">
                  <c:v>63.9</c:v>
                </c:pt>
                <c:pt idx="75">
                  <c:v>63.9</c:v>
                </c:pt>
                <c:pt idx="76">
                  <c:v>63.9</c:v>
                </c:pt>
                <c:pt idx="77">
                  <c:v>63.9</c:v>
                </c:pt>
                <c:pt idx="78">
                  <c:v>63.9</c:v>
                </c:pt>
                <c:pt idx="79">
                  <c:v>63.9</c:v>
                </c:pt>
                <c:pt idx="80">
                  <c:v>63.9</c:v>
                </c:pt>
                <c:pt idx="81">
                  <c:v>63.9</c:v>
                </c:pt>
                <c:pt idx="82">
                  <c:v>63.9</c:v>
                </c:pt>
                <c:pt idx="83">
                  <c:v>63.9</c:v>
                </c:pt>
                <c:pt idx="84">
                  <c:v>63.9</c:v>
                </c:pt>
                <c:pt idx="85">
                  <c:v>63.9</c:v>
                </c:pt>
                <c:pt idx="86">
                  <c:v>63.9</c:v>
                </c:pt>
                <c:pt idx="87">
                  <c:v>63.9</c:v>
                </c:pt>
                <c:pt idx="88">
                  <c:v>63.9</c:v>
                </c:pt>
                <c:pt idx="89">
                  <c:v>63.9</c:v>
                </c:pt>
                <c:pt idx="90">
                  <c:v>63.9</c:v>
                </c:pt>
                <c:pt idx="91">
                  <c:v>63.9</c:v>
                </c:pt>
                <c:pt idx="92">
                  <c:v>63.9</c:v>
                </c:pt>
                <c:pt idx="93">
                  <c:v>63.9</c:v>
                </c:pt>
                <c:pt idx="94">
                  <c:v>63.9</c:v>
                </c:pt>
                <c:pt idx="95">
                  <c:v>63.9</c:v>
                </c:pt>
                <c:pt idx="96">
                  <c:v>63.9</c:v>
                </c:pt>
                <c:pt idx="97">
                  <c:v>63.9</c:v>
                </c:pt>
                <c:pt idx="98">
                  <c:v>63.9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80-4246-A063-557C0DF26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29744"/>
        <c:axId val="680222904"/>
      </c:scatterChart>
      <c:valAx>
        <c:axId val="680229744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&quot; s&quot;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80222904"/>
        <c:crosses val="autoZero"/>
        <c:crossBetween val="midCat"/>
      </c:valAx>
      <c:valAx>
        <c:axId val="680222904"/>
        <c:scaling>
          <c:orientation val="minMax"/>
          <c:max val="75"/>
          <c:min val="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&quot; V&quot;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8022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26" fmlaLink="$N$1" max="850" min="500" page="10" val="608"/>
</file>

<file path=xl/ctrlProps/ctrlProp2.xml><?xml version="1.0" encoding="utf-8"?>
<formControlPr xmlns="http://schemas.microsoft.com/office/spreadsheetml/2009/9/main" objectType="Scroll" dx="26" fmlaLink="$O$1" max="850" min="500" page="10" val="642"/>
</file>

<file path=xl/ctrlProps/ctrlProp3.xml><?xml version="1.0" encoding="utf-8"?>
<formControlPr xmlns="http://schemas.microsoft.com/office/spreadsheetml/2009/9/main" objectType="Scroll" dx="26" fmlaLink="$P$1" max="850" min="500" page="10" val="661"/>
</file>

<file path=xl/ctrlProps/ctrlProp4.xml><?xml version="1.0" encoding="utf-8"?>
<formControlPr xmlns="http://schemas.microsoft.com/office/spreadsheetml/2009/9/main" objectType="Scroll" dx="26" fmlaLink="$Q$1" max="850" min="500" page="10" val="71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232409</xdr:colOff>
      <xdr:row>2</xdr:row>
      <xdr:rowOff>47624</xdr:rowOff>
    </xdr:from>
    <xdr:to>
      <xdr:col>16</xdr:col>
      <xdr:colOff>704850</xdr:colOff>
      <xdr:row>34</xdr:row>
      <xdr:rowOff>38099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1</xdr:row>
          <xdr:rowOff>257175</xdr:rowOff>
        </xdr:from>
        <xdr:to>
          <xdr:col>17</xdr:col>
          <xdr:colOff>428625</xdr:colOff>
          <xdr:row>7</xdr:row>
          <xdr:rowOff>171450</xdr:rowOff>
        </xdr:to>
        <xdr:sp macro="" textlink="">
          <xdr:nvSpPr>
            <xdr:cNvPr id="4097" name="Scroll Ba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95250</xdr:colOff>
          <xdr:row>1</xdr:row>
          <xdr:rowOff>257175</xdr:rowOff>
        </xdr:from>
        <xdr:to>
          <xdr:col>18</xdr:col>
          <xdr:colOff>438150</xdr:colOff>
          <xdr:row>8</xdr:row>
          <xdr:rowOff>0</xdr:rowOff>
        </xdr:to>
        <xdr:sp macro="" textlink="">
          <xdr:nvSpPr>
            <xdr:cNvPr id="4099" name="Scroll Ba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</xdr:row>
          <xdr:rowOff>257175</xdr:rowOff>
        </xdr:from>
        <xdr:to>
          <xdr:col>19</xdr:col>
          <xdr:colOff>409575</xdr:colOff>
          <xdr:row>7</xdr:row>
          <xdr:rowOff>180975</xdr:rowOff>
        </xdr:to>
        <xdr:sp macro="" textlink="">
          <xdr:nvSpPr>
            <xdr:cNvPr id="4100" name="Scroll Bar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</xdr:row>
          <xdr:rowOff>0</xdr:rowOff>
        </xdr:from>
        <xdr:to>
          <xdr:col>20</xdr:col>
          <xdr:colOff>371475</xdr:colOff>
          <xdr:row>7</xdr:row>
          <xdr:rowOff>180975</xdr:rowOff>
        </xdr:to>
        <xdr:sp macro="" textlink="">
          <xdr:nvSpPr>
            <xdr:cNvPr id="4101" name="Scroll Bar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106</xdr:row>
      <xdr:rowOff>0</xdr:rowOff>
    </xdr:from>
    <xdr:to>
      <xdr:col>12</xdr:col>
      <xdr:colOff>0</xdr:colOff>
      <xdr:row>107</xdr:row>
      <xdr:rowOff>0</xdr:rowOff>
    </xdr:to>
    <xdr:sp macro="" textlink="">
      <xdr:nvSpPr>
        <xdr:cNvPr id="3" name="Téglalap 2">
          <a:extLst>
            <a:ext uri="{FF2B5EF4-FFF2-40B4-BE49-F238E27FC236}">
              <a16:creationId xmlns:a16="http://schemas.microsoft.com/office/drawing/2014/main" id="{9E4003E5-88D3-F8DE-F87B-6D58EBC06C2C}"/>
            </a:ext>
          </a:extLst>
        </xdr:cNvPr>
        <xdr:cNvSpPr/>
      </xdr:nvSpPr>
      <xdr:spPr>
        <a:xfrm>
          <a:off x="8124825" y="26584275"/>
          <a:ext cx="590550" cy="24765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hu-HU" sz="1100">
              <a:solidFill>
                <a:srgbClr val="000000"/>
              </a:solidFill>
            </a:rPr>
            <a:t>◀ Legújabbak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8F14E-EC4F-4C7E-A146-910929A1C556}" name="TBL_CUR" displayName="TBL_CUR" ref="A4:K5" totalsRowShown="0" headerRowDxfId="25" dataDxfId="23">
  <autoFilter ref="A4:K5" xr:uid="{7328F14E-EC4F-4C7E-A146-910929A1C5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5" xr3:uid="{C477FA60-2E10-4ABA-9568-5BF6C32A0AD8}" name="TIME" dataDxfId="12"/>
    <tableColumn id="9" xr3:uid="{9CB82388-C231-4C01-B292-6E6279158C7D}" name="CH1" dataDxfId="13"/>
    <tableColumn id="10" xr3:uid="{7912004E-AB11-412E-8360-8D7ED9B4711A}" name="CH2" dataDxfId="22"/>
    <tableColumn id="11" xr3:uid="{72F7D08B-11B5-43C5-B28C-EAEAA78733FF}" name="CH3" dataDxfId="21"/>
    <tableColumn id="1" xr3:uid="{0B66210B-05FC-4FE5-868A-38FA1CE23E22}" name="CH4" dataDxfId="20"/>
    <tableColumn id="2" xr3:uid="{7E73172E-CB4E-4D6E-A835-B4474E1A6561}" name="CH5" dataDxfId="19"/>
    <tableColumn id="3" xr3:uid="{101C176D-C332-4EF7-822F-662B104C9FA5}" name="CH6" dataDxfId="18"/>
    <tableColumn id="4" xr3:uid="{992EA8EB-514F-4674-8BE6-19D448515817}" name="CH7" dataDxfId="17"/>
    <tableColumn id="6" xr3:uid="{95D7F480-8F9F-438D-8877-43962EECD16D}" name="CH8" dataDxfId="16"/>
    <tableColumn id="7" xr3:uid="{EABBB996-1287-4738-99B8-B961DD398C3B}" name="CH9" dataDxfId="15"/>
    <tableColumn id="8" xr3:uid="{F0C27E29-DE89-4555-8094-33AC98083CB9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013C33-D420-47B1-AFBE-D904F8DFF55D}" name="TBL_HST" displayName="TBL_HST" ref="A7:K107" totalsRowShown="0" headerRowDxfId="24" dataDxfId="11">
  <autoFilter ref="A7:K107" xr:uid="{D3013C33-D420-47B1-AFBE-D904F8DFF5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5" xr3:uid="{79C0BD3A-3673-4179-989F-A0FAA4924B70}" name="TIME" dataDxfId="0"/>
    <tableColumn id="9" xr3:uid="{9C1B867B-36CB-487B-A053-12E97D6E71F7}" name="CH1" dataDxfId="1"/>
    <tableColumn id="10" xr3:uid="{1B8DB590-98A3-4485-8EC8-48CBD17E5ABC}" name="CH2" dataDxfId="10"/>
    <tableColumn id="11" xr3:uid="{96C6D45D-B908-4030-A245-AEDDBC19B712}" name="CH3" dataDxfId="9"/>
    <tableColumn id="1" xr3:uid="{93977F60-94C3-4A89-8BF0-7C9BAA1F687F}" name="CH4" dataDxfId="8"/>
    <tableColumn id="2" xr3:uid="{58ED7F10-3DDA-45EA-9478-FDEAE0E1BA84}" name="CH5" dataDxfId="7"/>
    <tableColumn id="3" xr3:uid="{84C3EF2C-F47A-4428-8BFB-C842B7C8CA01}" name="CH6" dataDxfId="6"/>
    <tableColumn id="4" xr3:uid="{D623959A-F3B1-4742-B350-AA8815AE994F}" name="CH7" dataDxfId="5"/>
    <tableColumn id="6" xr3:uid="{CDC842AE-2DD1-45C6-9F6C-452CD88A9E9F}" name="CH8" dataDxfId="4"/>
    <tableColumn id="7" xr3:uid="{2FC4CF8D-37BD-418F-8127-584D205A1D47}" name="CH9" dataDxfId="3"/>
    <tableColumn id="8" xr3:uid="{FDCF16A1-66B7-4E76-8D4C-B44948F51067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C212-014E-4709-B1BC-5B9CBDACCE4F}">
  <dimension ref="A1:AA102"/>
  <sheetViews>
    <sheetView tabSelected="1" topLeftCell="B2" workbookViewId="0">
      <selection activeCell="S15" sqref="S15"/>
    </sheetView>
  </sheetViews>
  <sheetFormatPr defaultRowHeight="15" x14ac:dyDescent="0.25"/>
  <cols>
    <col min="1" max="1" width="8.85546875" style="22"/>
    <col min="16" max="16" width="10.7109375" bestFit="1" customWidth="1"/>
    <col min="17" max="17" width="11" bestFit="1" customWidth="1"/>
    <col min="18" max="18" width="7.42578125" customWidth="1"/>
    <col min="19" max="19" width="8.140625" customWidth="1"/>
    <col min="20" max="20" width="7.28515625" customWidth="1"/>
    <col min="21" max="21" width="6.7109375" customWidth="1"/>
    <col min="22" max="22" width="12" bestFit="1" customWidth="1"/>
    <col min="24" max="27" width="9.140625" style="33"/>
  </cols>
  <sheetData>
    <row r="1" spans="1:27" hidden="1" x14ac:dyDescent="0.25">
      <c r="N1" s="23">
        <v>608</v>
      </c>
      <c r="O1" s="23">
        <v>642</v>
      </c>
      <c r="P1" s="23">
        <v>661</v>
      </c>
      <c r="Q1">
        <v>711</v>
      </c>
    </row>
    <row r="2" spans="1:27" ht="21" x14ac:dyDescent="0.25">
      <c r="P2" s="32">
        <f>'Bejövő adatok'!D8</f>
        <v>70.319999999999993</v>
      </c>
      <c r="Q2" s="36">
        <f>'Bejövő adatok'!E8</f>
        <v>2.44</v>
      </c>
      <c r="R2" s="34">
        <f>(850-N1+500)/10</f>
        <v>74.2</v>
      </c>
      <c r="S2" s="30">
        <f>(850-O1+500)/10</f>
        <v>70.8</v>
      </c>
      <c r="T2" s="31">
        <f>(850-P1+500)/10</f>
        <v>68.900000000000006</v>
      </c>
      <c r="U2" s="35">
        <f>(850-Q1+500)/10</f>
        <v>63.9</v>
      </c>
      <c r="X2" s="33">
        <f t="shared" ref="X2:X33" si="0">R$2</f>
        <v>74.2</v>
      </c>
      <c r="Y2" s="33">
        <f t="shared" ref="Y2:Y33" si="1">S$2</f>
        <v>70.8</v>
      </c>
      <c r="Z2" s="33">
        <f t="shared" ref="Z2:Z33" si="2">T$2</f>
        <v>68.900000000000006</v>
      </c>
      <c r="AA2" s="33">
        <f t="shared" ref="AA2:AA33" si="3">U$2</f>
        <v>63.9</v>
      </c>
    </row>
    <row r="3" spans="1:27" x14ac:dyDescent="0.25">
      <c r="A3" s="33">
        <f>VALUE('Bejövő adatok'!B8)</f>
        <v>64.09</v>
      </c>
      <c r="B3" s="33">
        <f t="shared" ref="B3:B66" si="4">C3/50</f>
        <v>0</v>
      </c>
      <c r="C3" s="33">
        <v>0</v>
      </c>
      <c r="X3" s="33">
        <f t="shared" si="0"/>
        <v>74.2</v>
      </c>
      <c r="Y3" s="33">
        <f t="shared" si="1"/>
        <v>70.8</v>
      </c>
      <c r="Z3" s="33">
        <f t="shared" si="2"/>
        <v>68.900000000000006</v>
      </c>
      <c r="AA3" s="33">
        <f t="shared" si="3"/>
        <v>63.9</v>
      </c>
    </row>
    <row r="4" spans="1:27" x14ac:dyDescent="0.25">
      <c r="A4" s="33">
        <f>VALUE('Bejövő adatok'!B9)</f>
        <v>64.22</v>
      </c>
      <c r="B4" s="33">
        <f t="shared" si="4"/>
        <v>0.02</v>
      </c>
      <c r="C4" s="33">
        <v>1</v>
      </c>
      <c r="X4" s="33">
        <f t="shared" si="0"/>
        <v>74.2</v>
      </c>
      <c r="Y4" s="33">
        <f t="shared" si="1"/>
        <v>70.8</v>
      </c>
      <c r="Z4" s="33">
        <f t="shared" si="2"/>
        <v>68.900000000000006</v>
      </c>
      <c r="AA4" s="33">
        <f t="shared" si="3"/>
        <v>63.9</v>
      </c>
    </row>
    <row r="5" spans="1:27" x14ac:dyDescent="0.25">
      <c r="A5" s="33">
        <f>VALUE('Bejövő adatok'!B10)</f>
        <v>64.42</v>
      </c>
      <c r="B5" s="33">
        <f t="shared" si="4"/>
        <v>0.04</v>
      </c>
      <c r="C5" s="33">
        <v>2</v>
      </c>
      <c r="X5" s="33">
        <f t="shared" si="0"/>
        <v>74.2</v>
      </c>
      <c r="Y5" s="33">
        <f t="shared" si="1"/>
        <v>70.8</v>
      </c>
      <c r="Z5" s="33">
        <f t="shared" si="2"/>
        <v>68.900000000000006</v>
      </c>
      <c r="AA5" s="33">
        <f t="shared" si="3"/>
        <v>63.9</v>
      </c>
    </row>
    <row r="6" spans="1:27" x14ac:dyDescent="0.25">
      <c r="A6" s="33">
        <f>VALUE('Bejövő adatok'!B11)</f>
        <v>64.650000000000006</v>
      </c>
      <c r="B6" s="33">
        <f t="shared" si="4"/>
        <v>0.06</v>
      </c>
      <c r="C6" s="33">
        <v>3</v>
      </c>
      <c r="U6" s="28"/>
      <c r="V6" s="28"/>
      <c r="X6" s="33">
        <f t="shared" si="0"/>
        <v>74.2</v>
      </c>
      <c r="Y6" s="33">
        <f t="shared" si="1"/>
        <v>70.8</v>
      </c>
      <c r="Z6" s="33">
        <f t="shared" si="2"/>
        <v>68.900000000000006</v>
      </c>
      <c r="AA6" s="33">
        <f t="shared" si="3"/>
        <v>63.9</v>
      </c>
    </row>
    <row r="7" spans="1:27" x14ac:dyDescent="0.25">
      <c r="A7" s="33">
        <f>VALUE('Bejövő adatok'!B12)</f>
        <v>64.78</v>
      </c>
      <c r="B7" s="33">
        <f t="shared" si="4"/>
        <v>0.08</v>
      </c>
      <c r="C7" s="33">
        <v>4</v>
      </c>
      <c r="V7" s="29"/>
      <c r="X7" s="33">
        <f t="shared" si="0"/>
        <v>74.2</v>
      </c>
      <c r="Y7" s="33">
        <f t="shared" si="1"/>
        <v>70.8</v>
      </c>
      <c r="Z7" s="33">
        <f t="shared" si="2"/>
        <v>68.900000000000006</v>
      </c>
      <c r="AA7" s="33">
        <f t="shared" si="3"/>
        <v>63.9</v>
      </c>
    </row>
    <row r="8" spans="1:27" x14ac:dyDescent="0.25">
      <c r="A8" s="33">
        <f>VALUE('Bejövő adatok'!B13)</f>
        <v>65.03</v>
      </c>
      <c r="B8" s="33">
        <f t="shared" si="4"/>
        <v>0.1</v>
      </c>
      <c r="C8" s="33">
        <v>5</v>
      </c>
      <c r="X8" s="33">
        <f t="shared" si="0"/>
        <v>74.2</v>
      </c>
      <c r="Y8" s="33">
        <f t="shared" si="1"/>
        <v>70.8</v>
      </c>
      <c r="Z8" s="33">
        <f t="shared" si="2"/>
        <v>68.900000000000006</v>
      </c>
      <c r="AA8" s="33">
        <f t="shared" si="3"/>
        <v>63.9</v>
      </c>
    </row>
    <row r="9" spans="1:27" x14ac:dyDescent="0.25">
      <c r="A9" s="33">
        <f>VALUE('Bejövő adatok'!B14)</f>
        <v>65.17</v>
      </c>
      <c r="B9" s="33">
        <f t="shared" si="4"/>
        <v>0.12</v>
      </c>
      <c r="C9" s="33">
        <v>6</v>
      </c>
      <c r="X9" s="33">
        <f t="shared" si="0"/>
        <v>74.2</v>
      </c>
      <c r="Y9" s="33">
        <f t="shared" si="1"/>
        <v>70.8</v>
      </c>
      <c r="Z9" s="33">
        <f t="shared" si="2"/>
        <v>68.900000000000006</v>
      </c>
      <c r="AA9" s="33">
        <f t="shared" si="3"/>
        <v>63.9</v>
      </c>
    </row>
    <row r="10" spans="1:27" x14ac:dyDescent="0.25">
      <c r="A10" s="33">
        <f>VALUE('Bejövő adatok'!B15)</f>
        <v>65.28</v>
      </c>
      <c r="B10" s="33">
        <f t="shared" si="4"/>
        <v>0.14000000000000001</v>
      </c>
      <c r="C10" s="33">
        <v>7</v>
      </c>
      <c r="X10" s="33">
        <f t="shared" si="0"/>
        <v>74.2</v>
      </c>
      <c r="Y10" s="33">
        <f t="shared" si="1"/>
        <v>70.8</v>
      </c>
      <c r="Z10" s="33">
        <f t="shared" si="2"/>
        <v>68.900000000000006</v>
      </c>
      <c r="AA10" s="33">
        <f t="shared" si="3"/>
        <v>63.9</v>
      </c>
    </row>
    <row r="11" spans="1:27" x14ac:dyDescent="0.25">
      <c r="A11" s="33">
        <f>VALUE('Bejövő adatok'!B16)</f>
        <v>65.42</v>
      </c>
      <c r="B11" s="33">
        <f t="shared" si="4"/>
        <v>0.16</v>
      </c>
      <c r="C11" s="33">
        <v>8</v>
      </c>
      <c r="X11" s="33">
        <f t="shared" si="0"/>
        <v>74.2</v>
      </c>
      <c r="Y11" s="33">
        <f t="shared" si="1"/>
        <v>70.8</v>
      </c>
      <c r="Z11" s="33">
        <f t="shared" si="2"/>
        <v>68.900000000000006</v>
      </c>
      <c r="AA11" s="33">
        <f t="shared" si="3"/>
        <v>63.9</v>
      </c>
    </row>
    <row r="12" spans="1:27" x14ac:dyDescent="0.25">
      <c r="A12" s="33">
        <f>VALUE('Bejövő adatok'!B17)</f>
        <v>65.59</v>
      </c>
      <c r="B12" s="33">
        <f t="shared" si="4"/>
        <v>0.18</v>
      </c>
      <c r="C12" s="33">
        <v>9</v>
      </c>
      <c r="X12" s="33">
        <f t="shared" si="0"/>
        <v>74.2</v>
      </c>
      <c r="Y12" s="33">
        <f t="shared" si="1"/>
        <v>70.8</v>
      </c>
      <c r="Z12" s="33">
        <f t="shared" si="2"/>
        <v>68.900000000000006</v>
      </c>
      <c r="AA12" s="33">
        <f t="shared" si="3"/>
        <v>63.9</v>
      </c>
    </row>
    <row r="13" spans="1:27" x14ac:dyDescent="0.25">
      <c r="A13" s="33">
        <f>VALUE('Bejövő adatok'!B18)</f>
        <v>65.760000000000005</v>
      </c>
      <c r="B13" s="33">
        <f t="shared" si="4"/>
        <v>0.2</v>
      </c>
      <c r="C13" s="33">
        <v>10</v>
      </c>
      <c r="X13" s="33">
        <f t="shared" si="0"/>
        <v>74.2</v>
      </c>
      <c r="Y13" s="33">
        <f t="shared" si="1"/>
        <v>70.8</v>
      </c>
      <c r="Z13" s="33">
        <f t="shared" si="2"/>
        <v>68.900000000000006</v>
      </c>
      <c r="AA13" s="33">
        <f t="shared" si="3"/>
        <v>63.9</v>
      </c>
    </row>
    <row r="14" spans="1:27" x14ac:dyDescent="0.25">
      <c r="A14" s="33">
        <f>VALUE('Bejövő adatok'!B19)</f>
        <v>65.91</v>
      </c>
      <c r="B14" s="33">
        <f t="shared" si="4"/>
        <v>0.22</v>
      </c>
      <c r="C14" s="33">
        <v>11</v>
      </c>
      <c r="S14">
        <f>AVERAGE('Bejövő adatok'!C103:C107)</f>
        <v>68.795999999999992</v>
      </c>
      <c r="V14" s="27"/>
      <c r="X14" s="33">
        <f t="shared" si="0"/>
        <v>74.2</v>
      </c>
      <c r="Y14" s="33">
        <f t="shared" si="1"/>
        <v>70.8</v>
      </c>
      <c r="Z14" s="33">
        <f t="shared" si="2"/>
        <v>68.900000000000006</v>
      </c>
      <c r="AA14" s="33">
        <f t="shared" si="3"/>
        <v>63.9</v>
      </c>
    </row>
    <row r="15" spans="1:27" x14ac:dyDescent="0.25">
      <c r="A15" s="33">
        <f>VALUE('Bejövő adatok'!B20)</f>
        <v>66.09</v>
      </c>
      <c r="B15" s="33">
        <f t="shared" si="4"/>
        <v>0.24</v>
      </c>
      <c r="C15" s="33">
        <v>12</v>
      </c>
      <c r="X15" s="33">
        <f t="shared" si="0"/>
        <v>74.2</v>
      </c>
      <c r="Y15" s="33">
        <f t="shared" si="1"/>
        <v>70.8</v>
      </c>
      <c r="Z15" s="33">
        <f t="shared" si="2"/>
        <v>68.900000000000006</v>
      </c>
      <c r="AA15" s="33">
        <f t="shared" si="3"/>
        <v>63.9</v>
      </c>
    </row>
    <row r="16" spans="1:27" x14ac:dyDescent="0.25">
      <c r="A16" s="33">
        <f>VALUE('Bejövő adatok'!B21)</f>
        <v>66.290000000000006</v>
      </c>
      <c r="B16" s="33">
        <f t="shared" si="4"/>
        <v>0.26</v>
      </c>
      <c r="C16" s="33">
        <v>13</v>
      </c>
      <c r="X16" s="33">
        <f t="shared" si="0"/>
        <v>74.2</v>
      </c>
      <c r="Y16" s="33">
        <f t="shared" si="1"/>
        <v>70.8</v>
      </c>
      <c r="Z16" s="33">
        <f t="shared" si="2"/>
        <v>68.900000000000006</v>
      </c>
      <c r="AA16" s="33">
        <f t="shared" si="3"/>
        <v>63.9</v>
      </c>
    </row>
    <row r="17" spans="1:27" x14ac:dyDescent="0.25">
      <c r="A17" s="33">
        <f>VALUE('Bejövő adatok'!B22)</f>
        <v>66.45</v>
      </c>
      <c r="B17" s="33">
        <f t="shared" si="4"/>
        <v>0.28000000000000003</v>
      </c>
      <c r="C17" s="33">
        <v>14</v>
      </c>
      <c r="X17" s="33">
        <f t="shared" si="0"/>
        <v>74.2</v>
      </c>
      <c r="Y17" s="33">
        <f t="shared" si="1"/>
        <v>70.8</v>
      </c>
      <c r="Z17" s="33">
        <f t="shared" si="2"/>
        <v>68.900000000000006</v>
      </c>
      <c r="AA17" s="33">
        <f t="shared" si="3"/>
        <v>63.9</v>
      </c>
    </row>
    <row r="18" spans="1:27" x14ac:dyDescent="0.25">
      <c r="A18" s="33">
        <f>VALUE('Bejövő adatok'!B23)</f>
        <v>66.53</v>
      </c>
      <c r="B18" s="33">
        <f t="shared" si="4"/>
        <v>0.3</v>
      </c>
      <c r="C18" s="33">
        <v>15</v>
      </c>
      <c r="X18" s="33">
        <f t="shared" si="0"/>
        <v>74.2</v>
      </c>
      <c r="Y18" s="33">
        <f t="shared" si="1"/>
        <v>70.8</v>
      </c>
      <c r="Z18" s="33">
        <f t="shared" si="2"/>
        <v>68.900000000000006</v>
      </c>
      <c r="AA18" s="33">
        <f t="shared" si="3"/>
        <v>63.9</v>
      </c>
    </row>
    <row r="19" spans="1:27" x14ac:dyDescent="0.25">
      <c r="A19" s="33">
        <f>VALUE('Bejövő adatok'!B24)</f>
        <v>66.650000000000006</v>
      </c>
      <c r="B19" s="33">
        <f t="shared" si="4"/>
        <v>0.32</v>
      </c>
      <c r="C19" s="33">
        <v>16</v>
      </c>
      <c r="X19" s="33">
        <f t="shared" si="0"/>
        <v>74.2</v>
      </c>
      <c r="Y19" s="33">
        <f t="shared" si="1"/>
        <v>70.8</v>
      </c>
      <c r="Z19" s="33">
        <f t="shared" si="2"/>
        <v>68.900000000000006</v>
      </c>
      <c r="AA19" s="33">
        <f t="shared" si="3"/>
        <v>63.9</v>
      </c>
    </row>
    <row r="20" spans="1:27" x14ac:dyDescent="0.25">
      <c r="A20" s="33">
        <f>VALUE('Bejövő adatok'!B25)</f>
        <v>66.83</v>
      </c>
      <c r="B20" s="33">
        <f t="shared" si="4"/>
        <v>0.34</v>
      </c>
      <c r="C20" s="33">
        <v>17</v>
      </c>
      <c r="X20" s="33">
        <f t="shared" si="0"/>
        <v>74.2</v>
      </c>
      <c r="Y20" s="33">
        <f t="shared" si="1"/>
        <v>70.8</v>
      </c>
      <c r="Z20" s="33">
        <f t="shared" si="2"/>
        <v>68.900000000000006</v>
      </c>
      <c r="AA20" s="33">
        <f t="shared" si="3"/>
        <v>63.9</v>
      </c>
    </row>
    <row r="21" spans="1:27" x14ac:dyDescent="0.25">
      <c r="A21" s="33">
        <f>VALUE('Bejövő adatok'!B26)</f>
        <v>67.010000000000005</v>
      </c>
      <c r="B21" s="33">
        <f t="shared" si="4"/>
        <v>0.36</v>
      </c>
      <c r="C21" s="33">
        <v>18</v>
      </c>
      <c r="X21" s="33">
        <f t="shared" si="0"/>
        <v>74.2</v>
      </c>
      <c r="Y21" s="33">
        <f t="shared" si="1"/>
        <v>70.8</v>
      </c>
      <c r="Z21" s="33">
        <f t="shared" si="2"/>
        <v>68.900000000000006</v>
      </c>
      <c r="AA21" s="33">
        <f t="shared" si="3"/>
        <v>63.9</v>
      </c>
    </row>
    <row r="22" spans="1:27" x14ac:dyDescent="0.25">
      <c r="A22" s="33">
        <f>VALUE('Bejövő adatok'!B27)</f>
        <v>67.11</v>
      </c>
      <c r="B22" s="33">
        <f t="shared" si="4"/>
        <v>0.38</v>
      </c>
      <c r="C22" s="33">
        <v>19</v>
      </c>
      <c r="X22" s="33">
        <f t="shared" si="0"/>
        <v>74.2</v>
      </c>
      <c r="Y22" s="33">
        <f t="shared" si="1"/>
        <v>70.8</v>
      </c>
      <c r="Z22" s="33">
        <f t="shared" si="2"/>
        <v>68.900000000000006</v>
      </c>
      <c r="AA22" s="33">
        <f t="shared" si="3"/>
        <v>63.9</v>
      </c>
    </row>
    <row r="23" spans="1:27" x14ac:dyDescent="0.25">
      <c r="A23" s="33">
        <f>VALUE('Bejövő adatok'!B28)</f>
        <v>67.28</v>
      </c>
      <c r="B23" s="33">
        <f t="shared" si="4"/>
        <v>0.4</v>
      </c>
      <c r="C23" s="33">
        <v>20</v>
      </c>
      <c r="X23" s="33">
        <f t="shared" si="0"/>
        <v>74.2</v>
      </c>
      <c r="Y23" s="33">
        <f t="shared" si="1"/>
        <v>70.8</v>
      </c>
      <c r="Z23" s="33">
        <f t="shared" si="2"/>
        <v>68.900000000000006</v>
      </c>
      <c r="AA23" s="33">
        <f t="shared" si="3"/>
        <v>63.9</v>
      </c>
    </row>
    <row r="24" spans="1:27" x14ac:dyDescent="0.25">
      <c r="A24" s="33">
        <f>VALUE('Bejövő adatok'!B29)</f>
        <v>67.430000000000007</v>
      </c>
      <c r="B24" s="33">
        <f t="shared" si="4"/>
        <v>0.42</v>
      </c>
      <c r="C24" s="33">
        <v>21</v>
      </c>
      <c r="X24" s="33">
        <f t="shared" si="0"/>
        <v>74.2</v>
      </c>
      <c r="Y24" s="33">
        <f t="shared" si="1"/>
        <v>70.8</v>
      </c>
      <c r="Z24" s="33">
        <f t="shared" si="2"/>
        <v>68.900000000000006</v>
      </c>
      <c r="AA24" s="33">
        <f t="shared" si="3"/>
        <v>63.9</v>
      </c>
    </row>
    <row r="25" spans="1:27" x14ac:dyDescent="0.25">
      <c r="A25" s="33">
        <f>VALUE('Bejövő adatok'!B30)</f>
        <v>67.58</v>
      </c>
      <c r="B25" s="33">
        <f t="shared" si="4"/>
        <v>0.44</v>
      </c>
      <c r="C25" s="33">
        <v>22</v>
      </c>
      <c r="X25" s="33">
        <f t="shared" si="0"/>
        <v>74.2</v>
      </c>
      <c r="Y25" s="33">
        <f t="shared" si="1"/>
        <v>70.8</v>
      </c>
      <c r="Z25" s="33">
        <f t="shared" si="2"/>
        <v>68.900000000000006</v>
      </c>
      <c r="AA25" s="33">
        <f t="shared" si="3"/>
        <v>63.9</v>
      </c>
    </row>
    <row r="26" spans="1:27" x14ac:dyDescent="0.25">
      <c r="A26" s="33">
        <f>VALUE('Bejövő adatok'!B31)</f>
        <v>67.69</v>
      </c>
      <c r="B26" s="33">
        <f t="shared" si="4"/>
        <v>0.46</v>
      </c>
      <c r="C26" s="33">
        <v>23</v>
      </c>
      <c r="X26" s="33">
        <f t="shared" si="0"/>
        <v>74.2</v>
      </c>
      <c r="Y26" s="33">
        <f t="shared" si="1"/>
        <v>70.8</v>
      </c>
      <c r="Z26" s="33">
        <f t="shared" si="2"/>
        <v>68.900000000000006</v>
      </c>
      <c r="AA26" s="33">
        <f t="shared" si="3"/>
        <v>63.9</v>
      </c>
    </row>
    <row r="27" spans="1:27" x14ac:dyDescent="0.25">
      <c r="A27" s="33">
        <f>VALUE('Bejövő adatok'!B32)</f>
        <v>67.790000000000006</v>
      </c>
      <c r="B27" s="33">
        <f t="shared" si="4"/>
        <v>0.48</v>
      </c>
      <c r="C27" s="33">
        <v>24</v>
      </c>
      <c r="X27" s="33">
        <f t="shared" si="0"/>
        <v>74.2</v>
      </c>
      <c r="Y27" s="33">
        <f t="shared" si="1"/>
        <v>70.8</v>
      </c>
      <c r="Z27" s="33">
        <f t="shared" si="2"/>
        <v>68.900000000000006</v>
      </c>
      <c r="AA27" s="33">
        <f t="shared" si="3"/>
        <v>63.9</v>
      </c>
    </row>
    <row r="28" spans="1:27" x14ac:dyDescent="0.25">
      <c r="A28" s="33">
        <f>VALUE('Bejövő adatok'!B33)</f>
        <v>67.95</v>
      </c>
      <c r="B28" s="33">
        <f t="shared" si="4"/>
        <v>0.5</v>
      </c>
      <c r="C28" s="33">
        <v>25</v>
      </c>
      <c r="X28" s="33">
        <f t="shared" si="0"/>
        <v>74.2</v>
      </c>
      <c r="Y28" s="33">
        <f t="shared" si="1"/>
        <v>70.8</v>
      </c>
      <c r="Z28" s="33">
        <f t="shared" si="2"/>
        <v>68.900000000000006</v>
      </c>
      <c r="AA28" s="33">
        <f t="shared" si="3"/>
        <v>63.9</v>
      </c>
    </row>
    <row r="29" spans="1:27" x14ac:dyDescent="0.25">
      <c r="A29" s="33">
        <f>VALUE('Bejövő adatok'!B34)</f>
        <v>68.08</v>
      </c>
      <c r="B29" s="33">
        <f t="shared" si="4"/>
        <v>0.52</v>
      </c>
      <c r="C29" s="33">
        <v>26</v>
      </c>
      <c r="X29" s="33">
        <f t="shared" si="0"/>
        <v>74.2</v>
      </c>
      <c r="Y29" s="33">
        <f t="shared" si="1"/>
        <v>70.8</v>
      </c>
      <c r="Z29" s="33">
        <f t="shared" si="2"/>
        <v>68.900000000000006</v>
      </c>
      <c r="AA29" s="33">
        <f t="shared" si="3"/>
        <v>63.9</v>
      </c>
    </row>
    <row r="30" spans="1:27" x14ac:dyDescent="0.25">
      <c r="A30" s="33">
        <f>VALUE('Bejövő adatok'!B35)</f>
        <v>68.23</v>
      </c>
      <c r="B30" s="33">
        <f t="shared" si="4"/>
        <v>0.54</v>
      </c>
      <c r="C30" s="33">
        <v>27</v>
      </c>
      <c r="X30" s="33">
        <f t="shared" si="0"/>
        <v>74.2</v>
      </c>
      <c r="Y30" s="33">
        <f t="shared" si="1"/>
        <v>70.8</v>
      </c>
      <c r="Z30" s="33">
        <f t="shared" si="2"/>
        <v>68.900000000000006</v>
      </c>
      <c r="AA30" s="33">
        <f t="shared" si="3"/>
        <v>63.9</v>
      </c>
    </row>
    <row r="31" spans="1:27" x14ac:dyDescent="0.25">
      <c r="A31" s="33">
        <f>VALUE('Bejövő adatok'!B36)</f>
        <v>68.36</v>
      </c>
      <c r="B31" s="33">
        <f t="shared" si="4"/>
        <v>0.56000000000000005</v>
      </c>
      <c r="C31" s="33">
        <v>28</v>
      </c>
      <c r="X31" s="33">
        <f t="shared" si="0"/>
        <v>74.2</v>
      </c>
      <c r="Y31" s="33">
        <f t="shared" si="1"/>
        <v>70.8</v>
      </c>
      <c r="Z31" s="33">
        <f t="shared" si="2"/>
        <v>68.900000000000006</v>
      </c>
      <c r="AA31" s="33">
        <f t="shared" si="3"/>
        <v>63.9</v>
      </c>
    </row>
    <row r="32" spans="1:27" x14ac:dyDescent="0.25">
      <c r="A32" s="33">
        <f>VALUE('Bejövő adatok'!B37)</f>
        <v>68.510000000000005</v>
      </c>
      <c r="B32" s="33">
        <f t="shared" si="4"/>
        <v>0.57999999999999996</v>
      </c>
      <c r="C32" s="33">
        <v>29</v>
      </c>
      <c r="X32" s="33">
        <f t="shared" si="0"/>
        <v>74.2</v>
      </c>
      <c r="Y32" s="33">
        <f t="shared" si="1"/>
        <v>70.8</v>
      </c>
      <c r="Z32" s="33">
        <f t="shared" si="2"/>
        <v>68.900000000000006</v>
      </c>
      <c r="AA32" s="33">
        <f t="shared" si="3"/>
        <v>63.9</v>
      </c>
    </row>
    <row r="33" spans="1:27" x14ac:dyDescent="0.25">
      <c r="A33" s="33">
        <f>VALUE('Bejövő adatok'!B38)</f>
        <v>68.650000000000006</v>
      </c>
      <c r="B33" s="33">
        <f t="shared" si="4"/>
        <v>0.6</v>
      </c>
      <c r="C33" s="33">
        <v>30</v>
      </c>
      <c r="X33" s="33">
        <f t="shared" si="0"/>
        <v>74.2</v>
      </c>
      <c r="Y33" s="33">
        <f t="shared" si="1"/>
        <v>70.8</v>
      </c>
      <c r="Z33" s="33">
        <f t="shared" si="2"/>
        <v>68.900000000000006</v>
      </c>
      <c r="AA33" s="33">
        <f t="shared" si="3"/>
        <v>63.9</v>
      </c>
    </row>
    <row r="34" spans="1:27" x14ac:dyDescent="0.25">
      <c r="A34" s="33">
        <f>VALUE('Bejövő adatok'!B39)</f>
        <v>68.739999999999995</v>
      </c>
      <c r="B34" s="33">
        <f t="shared" si="4"/>
        <v>0.62</v>
      </c>
      <c r="C34" s="33">
        <v>31</v>
      </c>
      <c r="X34" s="33">
        <f t="shared" ref="X34:X65" si="5">R$2</f>
        <v>74.2</v>
      </c>
      <c r="Y34" s="33">
        <f t="shared" ref="Y34:Y65" si="6">S$2</f>
        <v>70.8</v>
      </c>
      <c r="Z34" s="33">
        <f t="shared" ref="Z34:Z65" si="7">T$2</f>
        <v>68.900000000000006</v>
      </c>
      <c r="AA34" s="33">
        <f t="shared" ref="AA34:AA65" si="8">U$2</f>
        <v>63.9</v>
      </c>
    </row>
    <row r="35" spans="1:27" x14ac:dyDescent="0.25">
      <c r="A35" s="33">
        <f>VALUE('Bejövő adatok'!B40)</f>
        <v>68.819999999999993</v>
      </c>
      <c r="B35" s="33">
        <f t="shared" si="4"/>
        <v>0.64</v>
      </c>
      <c r="C35" s="33">
        <v>32</v>
      </c>
      <c r="X35" s="33">
        <f t="shared" si="5"/>
        <v>74.2</v>
      </c>
      <c r="Y35" s="33">
        <f t="shared" si="6"/>
        <v>70.8</v>
      </c>
      <c r="Z35" s="33">
        <f t="shared" si="7"/>
        <v>68.900000000000006</v>
      </c>
      <c r="AA35" s="33">
        <f t="shared" si="8"/>
        <v>63.9</v>
      </c>
    </row>
    <row r="36" spans="1:27" x14ac:dyDescent="0.25">
      <c r="A36" s="33">
        <f>VALUE('Bejövő adatok'!B41)</f>
        <v>57.45</v>
      </c>
      <c r="B36" s="33">
        <f t="shared" si="4"/>
        <v>0.66</v>
      </c>
      <c r="C36" s="33">
        <v>33</v>
      </c>
      <c r="X36" s="33">
        <f t="shared" si="5"/>
        <v>74.2</v>
      </c>
      <c r="Y36" s="33">
        <f t="shared" si="6"/>
        <v>70.8</v>
      </c>
      <c r="Z36" s="33">
        <f t="shared" si="7"/>
        <v>68.900000000000006</v>
      </c>
      <c r="AA36" s="33">
        <f t="shared" si="8"/>
        <v>63.9</v>
      </c>
    </row>
    <row r="37" spans="1:27" x14ac:dyDescent="0.25">
      <c r="A37" s="33">
        <f>VALUE('Bejövő adatok'!B42)</f>
        <v>57.45</v>
      </c>
      <c r="B37" s="33">
        <f t="shared" si="4"/>
        <v>0.68</v>
      </c>
      <c r="C37" s="33">
        <v>34</v>
      </c>
      <c r="X37" s="33">
        <f t="shared" si="5"/>
        <v>74.2</v>
      </c>
      <c r="Y37" s="33">
        <f t="shared" si="6"/>
        <v>70.8</v>
      </c>
      <c r="Z37" s="33">
        <f t="shared" si="7"/>
        <v>68.900000000000006</v>
      </c>
      <c r="AA37" s="33">
        <f t="shared" si="8"/>
        <v>63.9</v>
      </c>
    </row>
    <row r="38" spans="1:27" x14ac:dyDescent="0.25">
      <c r="A38" s="33">
        <f>VALUE('Bejövő adatok'!B43)</f>
        <v>58.17</v>
      </c>
      <c r="B38" s="33">
        <f t="shared" si="4"/>
        <v>0.7</v>
      </c>
      <c r="C38" s="33">
        <v>35</v>
      </c>
      <c r="X38" s="33">
        <f t="shared" si="5"/>
        <v>74.2</v>
      </c>
      <c r="Y38" s="33">
        <f t="shared" si="6"/>
        <v>70.8</v>
      </c>
      <c r="Z38" s="33">
        <f t="shared" si="7"/>
        <v>68.900000000000006</v>
      </c>
      <c r="AA38" s="33">
        <f t="shared" si="8"/>
        <v>63.9</v>
      </c>
    </row>
    <row r="39" spans="1:27" x14ac:dyDescent="0.25">
      <c r="A39" s="33">
        <f>VALUE('Bejövő adatok'!B44)</f>
        <v>58.41</v>
      </c>
      <c r="B39" s="33">
        <f t="shared" si="4"/>
        <v>0.72</v>
      </c>
      <c r="C39" s="33">
        <v>36</v>
      </c>
      <c r="X39" s="33">
        <f t="shared" si="5"/>
        <v>74.2</v>
      </c>
      <c r="Y39" s="33">
        <f t="shared" si="6"/>
        <v>70.8</v>
      </c>
      <c r="Z39" s="33">
        <f t="shared" si="7"/>
        <v>68.900000000000006</v>
      </c>
      <c r="AA39" s="33">
        <f t="shared" si="8"/>
        <v>63.9</v>
      </c>
    </row>
    <row r="40" spans="1:27" x14ac:dyDescent="0.25">
      <c r="A40" s="33">
        <f>VALUE('Bejövő adatok'!B45)</f>
        <v>58.66</v>
      </c>
      <c r="B40" s="33">
        <f t="shared" si="4"/>
        <v>0.74</v>
      </c>
      <c r="C40" s="33">
        <v>37</v>
      </c>
      <c r="X40" s="33">
        <f t="shared" si="5"/>
        <v>74.2</v>
      </c>
      <c r="Y40" s="33">
        <f t="shared" si="6"/>
        <v>70.8</v>
      </c>
      <c r="Z40" s="33">
        <f t="shared" si="7"/>
        <v>68.900000000000006</v>
      </c>
      <c r="AA40" s="33">
        <f t="shared" si="8"/>
        <v>63.9</v>
      </c>
    </row>
    <row r="41" spans="1:27" x14ac:dyDescent="0.25">
      <c r="A41" s="33">
        <f>VALUE('Bejövő adatok'!B46)</f>
        <v>58.9</v>
      </c>
      <c r="B41" s="33">
        <f t="shared" si="4"/>
        <v>0.76</v>
      </c>
      <c r="C41" s="33">
        <v>38</v>
      </c>
      <c r="X41" s="33">
        <f t="shared" si="5"/>
        <v>74.2</v>
      </c>
      <c r="Y41" s="33">
        <f t="shared" si="6"/>
        <v>70.8</v>
      </c>
      <c r="Z41" s="33">
        <f t="shared" si="7"/>
        <v>68.900000000000006</v>
      </c>
      <c r="AA41" s="33">
        <f t="shared" si="8"/>
        <v>63.9</v>
      </c>
    </row>
    <row r="42" spans="1:27" x14ac:dyDescent="0.25">
      <c r="A42" s="33">
        <f>VALUE('Bejövő adatok'!B47)</f>
        <v>59.12</v>
      </c>
      <c r="B42" s="33">
        <f t="shared" si="4"/>
        <v>0.78</v>
      </c>
      <c r="C42" s="33">
        <v>39</v>
      </c>
      <c r="X42" s="33">
        <f t="shared" si="5"/>
        <v>74.2</v>
      </c>
      <c r="Y42" s="33">
        <f t="shared" si="6"/>
        <v>70.8</v>
      </c>
      <c r="Z42" s="33">
        <f t="shared" si="7"/>
        <v>68.900000000000006</v>
      </c>
      <c r="AA42" s="33">
        <f t="shared" si="8"/>
        <v>63.9</v>
      </c>
    </row>
    <row r="43" spans="1:27" x14ac:dyDescent="0.25">
      <c r="A43" s="33">
        <f>VALUE('Bejövő adatok'!B48)</f>
        <v>59.28</v>
      </c>
      <c r="B43" s="33">
        <f t="shared" si="4"/>
        <v>0.8</v>
      </c>
      <c r="C43" s="33">
        <v>40</v>
      </c>
      <c r="X43" s="33">
        <f t="shared" si="5"/>
        <v>74.2</v>
      </c>
      <c r="Y43" s="33">
        <f t="shared" si="6"/>
        <v>70.8</v>
      </c>
      <c r="Z43" s="33">
        <f t="shared" si="7"/>
        <v>68.900000000000006</v>
      </c>
      <c r="AA43" s="33">
        <f t="shared" si="8"/>
        <v>63.9</v>
      </c>
    </row>
    <row r="44" spans="1:27" x14ac:dyDescent="0.25">
      <c r="A44" s="33">
        <f>VALUE('Bejövő adatok'!B49)</f>
        <v>59.45</v>
      </c>
      <c r="B44" s="33">
        <f t="shared" si="4"/>
        <v>0.82</v>
      </c>
      <c r="C44" s="33">
        <v>41</v>
      </c>
      <c r="X44" s="33">
        <f t="shared" si="5"/>
        <v>74.2</v>
      </c>
      <c r="Y44" s="33">
        <f t="shared" si="6"/>
        <v>70.8</v>
      </c>
      <c r="Z44" s="33">
        <f t="shared" si="7"/>
        <v>68.900000000000006</v>
      </c>
      <c r="AA44" s="33">
        <f t="shared" si="8"/>
        <v>63.9</v>
      </c>
    </row>
    <row r="45" spans="1:27" x14ac:dyDescent="0.25">
      <c r="A45" s="33">
        <f>VALUE('Bejövő adatok'!B50)</f>
        <v>59.69</v>
      </c>
      <c r="B45" s="33">
        <f t="shared" si="4"/>
        <v>0.84</v>
      </c>
      <c r="C45" s="33">
        <v>42</v>
      </c>
      <c r="X45" s="33">
        <f t="shared" si="5"/>
        <v>74.2</v>
      </c>
      <c r="Y45" s="33">
        <f t="shared" si="6"/>
        <v>70.8</v>
      </c>
      <c r="Z45" s="33">
        <f t="shared" si="7"/>
        <v>68.900000000000006</v>
      </c>
      <c r="AA45" s="33">
        <f t="shared" si="8"/>
        <v>63.9</v>
      </c>
    </row>
    <row r="46" spans="1:27" x14ac:dyDescent="0.25">
      <c r="A46" s="33">
        <f>VALUE('Bejövő adatok'!B51)</f>
        <v>59.87</v>
      </c>
      <c r="B46" s="33">
        <f t="shared" si="4"/>
        <v>0.86</v>
      </c>
      <c r="C46" s="33">
        <v>43</v>
      </c>
      <c r="X46" s="33">
        <f t="shared" si="5"/>
        <v>74.2</v>
      </c>
      <c r="Y46" s="33">
        <f t="shared" si="6"/>
        <v>70.8</v>
      </c>
      <c r="Z46" s="33">
        <f t="shared" si="7"/>
        <v>68.900000000000006</v>
      </c>
      <c r="AA46" s="33">
        <f t="shared" si="8"/>
        <v>63.9</v>
      </c>
    </row>
    <row r="47" spans="1:27" x14ac:dyDescent="0.25">
      <c r="A47" s="33">
        <f>VALUE('Bejövő adatok'!B52)</f>
        <v>60.01</v>
      </c>
      <c r="B47" s="33">
        <f t="shared" si="4"/>
        <v>0.88</v>
      </c>
      <c r="C47" s="33">
        <v>44</v>
      </c>
      <c r="X47" s="33">
        <f t="shared" si="5"/>
        <v>74.2</v>
      </c>
      <c r="Y47" s="33">
        <f t="shared" si="6"/>
        <v>70.8</v>
      </c>
      <c r="Z47" s="33">
        <f t="shared" si="7"/>
        <v>68.900000000000006</v>
      </c>
      <c r="AA47" s="33">
        <f t="shared" si="8"/>
        <v>63.9</v>
      </c>
    </row>
    <row r="48" spans="1:27" x14ac:dyDescent="0.25">
      <c r="A48" s="33">
        <f>VALUE('Bejövő adatok'!B53)</f>
        <v>60.28</v>
      </c>
      <c r="B48" s="33">
        <f t="shared" si="4"/>
        <v>0.9</v>
      </c>
      <c r="C48" s="33">
        <v>45</v>
      </c>
      <c r="X48" s="33">
        <f t="shared" si="5"/>
        <v>74.2</v>
      </c>
      <c r="Y48" s="33">
        <f t="shared" si="6"/>
        <v>70.8</v>
      </c>
      <c r="Z48" s="33">
        <f t="shared" si="7"/>
        <v>68.900000000000006</v>
      </c>
      <c r="AA48" s="33">
        <f t="shared" si="8"/>
        <v>63.9</v>
      </c>
    </row>
    <row r="49" spans="1:27" x14ac:dyDescent="0.25">
      <c r="A49" s="33">
        <f>VALUE('Bejövő adatok'!B54)</f>
        <v>60.48</v>
      </c>
      <c r="B49" s="33">
        <f t="shared" si="4"/>
        <v>0.92</v>
      </c>
      <c r="C49" s="33">
        <v>46</v>
      </c>
      <c r="X49" s="33">
        <f t="shared" si="5"/>
        <v>74.2</v>
      </c>
      <c r="Y49" s="33">
        <f t="shared" si="6"/>
        <v>70.8</v>
      </c>
      <c r="Z49" s="33">
        <f t="shared" si="7"/>
        <v>68.900000000000006</v>
      </c>
      <c r="AA49" s="33">
        <f t="shared" si="8"/>
        <v>63.9</v>
      </c>
    </row>
    <row r="50" spans="1:27" x14ac:dyDescent="0.25">
      <c r="A50" s="33">
        <f>VALUE('Bejövő adatok'!B55)</f>
        <v>60.58</v>
      </c>
      <c r="B50" s="33">
        <f t="shared" si="4"/>
        <v>0.94</v>
      </c>
      <c r="C50" s="33">
        <v>47</v>
      </c>
      <c r="X50" s="33">
        <f t="shared" si="5"/>
        <v>74.2</v>
      </c>
      <c r="Y50" s="33">
        <f t="shared" si="6"/>
        <v>70.8</v>
      </c>
      <c r="Z50" s="33">
        <f t="shared" si="7"/>
        <v>68.900000000000006</v>
      </c>
      <c r="AA50" s="33">
        <f t="shared" si="8"/>
        <v>63.9</v>
      </c>
    </row>
    <row r="51" spans="1:27" x14ac:dyDescent="0.25">
      <c r="A51" s="33">
        <f>VALUE('Bejövő adatok'!B56)</f>
        <v>60.84</v>
      </c>
      <c r="B51" s="33">
        <f t="shared" si="4"/>
        <v>0.96</v>
      </c>
      <c r="C51" s="33">
        <v>48</v>
      </c>
      <c r="X51" s="33">
        <f t="shared" si="5"/>
        <v>74.2</v>
      </c>
      <c r="Y51" s="33">
        <f t="shared" si="6"/>
        <v>70.8</v>
      </c>
      <c r="Z51" s="33">
        <f t="shared" si="7"/>
        <v>68.900000000000006</v>
      </c>
      <c r="AA51" s="33">
        <f t="shared" si="8"/>
        <v>63.9</v>
      </c>
    </row>
    <row r="52" spans="1:27" x14ac:dyDescent="0.25">
      <c r="A52" s="33">
        <f>VALUE('Bejövő adatok'!B57)</f>
        <v>61.04</v>
      </c>
      <c r="B52" s="33">
        <f t="shared" si="4"/>
        <v>0.98</v>
      </c>
      <c r="C52" s="33">
        <v>49</v>
      </c>
      <c r="X52" s="33">
        <f t="shared" si="5"/>
        <v>74.2</v>
      </c>
      <c r="Y52" s="33">
        <f t="shared" si="6"/>
        <v>70.8</v>
      </c>
      <c r="Z52" s="33">
        <f t="shared" si="7"/>
        <v>68.900000000000006</v>
      </c>
      <c r="AA52" s="33">
        <f t="shared" si="8"/>
        <v>63.9</v>
      </c>
    </row>
    <row r="53" spans="1:27" x14ac:dyDescent="0.25">
      <c r="A53" s="33">
        <f>VALUE('Bejövő adatok'!B58)</f>
        <v>61.25</v>
      </c>
      <c r="B53" s="33">
        <f t="shared" si="4"/>
        <v>1</v>
      </c>
      <c r="C53" s="33">
        <v>50</v>
      </c>
      <c r="X53" s="33">
        <f t="shared" si="5"/>
        <v>74.2</v>
      </c>
      <c r="Y53" s="33">
        <f t="shared" si="6"/>
        <v>70.8</v>
      </c>
      <c r="Z53" s="33">
        <f t="shared" si="7"/>
        <v>68.900000000000006</v>
      </c>
      <c r="AA53" s="33">
        <f t="shared" si="8"/>
        <v>63.9</v>
      </c>
    </row>
    <row r="54" spans="1:27" x14ac:dyDescent="0.25">
      <c r="A54" s="33">
        <f>VALUE('Bejövő adatok'!B59)</f>
        <v>61.48</v>
      </c>
      <c r="B54" s="33">
        <f t="shared" si="4"/>
        <v>1.02</v>
      </c>
      <c r="C54" s="33">
        <v>51</v>
      </c>
      <c r="X54" s="33">
        <f t="shared" si="5"/>
        <v>74.2</v>
      </c>
      <c r="Y54" s="33">
        <f t="shared" si="6"/>
        <v>70.8</v>
      </c>
      <c r="Z54" s="33">
        <f t="shared" si="7"/>
        <v>68.900000000000006</v>
      </c>
      <c r="AA54" s="33">
        <f t="shared" si="8"/>
        <v>63.9</v>
      </c>
    </row>
    <row r="55" spans="1:27" x14ac:dyDescent="0.25">
      <c r="A55" s="33">
        <f>VALUE('Bejövő adatok'!B60)</f>
        <v>61.65</v>
      </c>
      <c r="B55" s="33">
        <f t="shared" si="4"/>
        <v>1.04</v>
      </c>
      <c r="C55" s="33">
        <v>52</v>
      </c>
      <c r="X55" s="33">
        <f t="shared" si="5"/>
        <v>74.2</v>
      </c>
      <c r="Y55" s="33">
        <f t="shared" si="6"/>
        <v>70.8</v>
      </c>
      <c r="Z55" s="33">
        <f t="shared" si="7"/>
        <v>68.900000000000006</v>
      </c>
      <c r="AA55" s="33">
        <f t="shared" si="8"/>
        <v>63.9</v>
      </c>
    </row>
    <row r="56" spans="1:27" x14ac:dyDescent="0.25">
      <c r="A56" s="33">
        <f>VALUE('Bejövő adatok'!B61)</f>
        <v>61.76</v>
      </c>
      <c r="B56" s="33">
        <f t="shared" si="4"/>
        <v>1.06</v>
      </c>
      <c r="C56" s="33">
        <v>53</v>
      </c>
      <c r="X56" s="33">
        <f t="shared" si="5"/>
        <v>74.2</v>
      </c>
      <c r="Y56" s="33">
        <f t="shared" si="6"/>
        <v>70.8</v>
      </c>
      <c r="Z56" s="33">
        <f t="shared" si="7"/>
        <v>68.900000000000006</v>
      </c>
      <c r="AA56" s="33">
        <f t="shared" si="8"/>
        <v>63.9</v>
      </c>
    </row>
    <row r="57" spans="1:27" x14ac:dyDescent="0.25">
      <c r="A57" s="33">
        <f>VALUE('Bejövő adatok'!B62)</f>
        <v>61.94</v>
      </c>
      <c r="B57" s="33">
        <f t="shared" si="4"/>
        <v>1.08</v>
      </c>
      <c r="C57" s="33">
        <v>54</v>
      </c>
      <c r="X57" s="33">
        <f t="shared" si="5"/>
        <v>74.2</v>
      </c>
      <c r="Y57" s="33">
        <f t="shared" si="6"/>
        <v>70.8</v>
      </c>
      <c r="Z57" s="33">
        <f t="shared" si="7"/>
        <v>68.900000000000006</v>
      </c>
      <c r="AA57" s="33">
        <f t="shared" si="8"/>
        <v>63.9</v>
      </c>
    </row>
    <row r="58" spans="1:27" x14ac:dyDescent="0.25">
      <c r="A58" s="33">
        <f>VALUE('Bejövő adatok'!B63)</f>
        <v>62.19</v>
      </c>
      <c r="B58" s="33">
        <f t="shared" si="4"/>
        <v>1.1000000000000001</v>
      </c>
      <c r="C58" s="33">
        <v>55</v>
      </c>
      <c r="X58" s="33">
        <f t="shared" si="5"/>
        <v>74.2</v>
      </c>
      <c r="Y58" s="33">
        <f t="shared" si="6"/>
        <v>70.8</v>
      </c>
      <c r="Z58" s="33">
        <f t="shared" si="7"/>
        <v>68.900000000000006</v>
      </c>
      <c r="AA58" s="33">
        <f t="shared" si="8"/>
        <v>63.9</v>
      </c>
    </row>
    <row r="59" spans="1:27" x14ac:dyDescent="0.25">
      <c r="A59" s="33">
        <f>VALUE('Bejövő adatok'!B64)</f>
        <v>62.33</v>
      </c>
      <c r="B59" s="33">
        <f t="shared" si="4"/>
        <v>1.1200000000000001</v>
      </c>
      <c r="C59" s="33">
        <v>56</v>
      </c>
      <c r="X59" s="33">
        <f t="shared" si="5"/>
        <v>74.2</v>
      </c>
      <c r="Y59" s="33">
        <f t="shared" si="6"/>
        <v>70.8</v>
      </c>
      <c r="Z59" s="33">
        <f t="shared" si="7"/>
        <v>68.900000000000006</v>
      </c>
      <c r="AA59" s="33">
        <f t="shared" si="8"/>
        <v>63.9</v>
      </c>
    </row>
    <row r="60" spans="1:27" x14ac:dyDescent="0.25">
      <c r="A60" s="33">
        <f>VALUE('Bejövő adatok'!B65)</f>
        <v>62.52</v>
      </c>
      <c r="B60" s="33">
        <f t="shared" si="4"/>
        <v>1.1399999999999999</v>
      </c>
      <c r="C60" s="33">
        <v>57</v>
      </c>
      <c r="X60" s="33">
        <f t="shared" si="5"/>
        <v>74.2</v>
      </c>
      <c r="Y60" s="33">
        <f t="shared" si="6"/>
        <v>70.8</v>
      </c>
      <c r="Z60" s="33">
        <f t="shared" si="7"/>
        <v>68.900000000000006</v>
      </c>
      <c r="AA60" s="33">
        <f t="shared" si="8"/>
        <v>63.9</v>
      </c>
    </row>
    <row r="61" spans="1:27" x14ac:dyDescent="0.25">
      <c r="A61" s="33">
        <f>VALUE('Bejövő adatok'!B66)</f>
        <v>62.78</v>
      </c>
      <c r="B61" s="33">
        <f t="shared" si="4"/>
        <v>1.1599999999999999</v>
      </c>
      <c r="C61" s="33">
        <v>58</v>
      </c>
      <c r="X61" s="33">
        <f t="shared" si="5"/>
        <v>74.2</v>
      </c>
      <c r="Y61" s="33">
        <f t="shared" si="6"/>
        <v>70.8</v>
      </c>
      <c r="Z61" s="33">
        <f t="shared" si="7"/>
        <v>68.900000000000006</v>
      </c>
      <c r="AA61" s="33">
        <f t="shared" si="8"/>
        <v>63.9</v>
      </c>
    </row>
    <row r="62" spans="1:27" x14ac:dyDescent="0.25">
      <c r="A62" s="33">
        <f>VALUE('Bejövő adatok'!B67)</f>
        <v>62.87</v>
      </c>
      <c r="B62" s="33">
        <f t="shared" si="4"/>
        <v>1.18</v>
      </c>
      <c r="C62" s="33">
        <v>59</v>
      </c>
      <c r="X62" s="33">
        <f t="shared" si="5"/>
        <v>74.2</v>
      </c>
      <c r="Y62" s="33">
        <f t="shared" si="6"/>
        <v>70.8</v>
      </c>
      <c r="Z62" s="33">
        <f t="shared" si="7"/>
        <v>68.900000000000006</v>
      </c>
      <c r="AA62" s="33">
        <f t="shared" si="8"/>
        <v>63.9</v>
      </c>
    </row>
    <row r="63" spans="1:27" x14ac:dyDescent="0.25">
      <c r="A63" s="33">
        <f>VALUE('Bejövő adatok'!B68)</f>
        <v>63.02</v>
      </c>
      <c r="B63" s="33">
        <f t="shared" si="4"/>
        <v>1.2</v>
      </c>
      <c r="C63" s="33">
        <v>60</v>
      </c>
      <c r="X63" s="33">
        <f t="shared" si="5"/>
        <v>74.2</v>
      </c>
      <c r="Y63" s="33">
        <f t="shared" si="6"/>
        <v>70.8</v>
      </c>
      <c r="Z63" s="33">
        <f t="shared" si="7"/>
        <v>68.900000000000006</v>
      </c>
      <c r="AA63" s="33">
        <f t="shared" si="8"/>
        <v>63.9</v>
      </c>
    </row>
    <row r="64" spans="1:27" x14ac:dyDescent="0.25">
      <c r="A64" s="33">
        <f>VALUE('Bejövő adatok'!B69)</f>
        <v>63.28</v>
      </c>
      <c r="B64" s="33">
        <f t="shared" si="4"/>
        <v>1.22</v>
      </c>
      <c r="C64" s="33">
        <v>61</v>
      </c>
      <c r="X64" s="33">
        <f t="shared" si="5"/>
        <v>74.2</v>
      </c>
      <c r="Y64" s="33">
        <f t="shared" si="6"/>
        <v>70.8</v>
      </c>
      <c r="Z64" s="33">
        <f t="shared" si="7"/>
        <v>68.900000000000006</v>
      </c>
      <c r="AA64" s="33">
        <f t="shared" si="8"/>
        <v>63.9</v>
      </c>
    </row>
    <row r="65" spans="1:27" x14ac:dyDescent="0.25">
      <c r="A65" s="33">
        <f>VALUE('Bejövő adatok'!B70)</f>
        <v>63.43</v>
      </c>
      <c r="B65" s="33">
        <f t="shared" si="4"/>
        <v>1.24</v>
      </c>
      <c r="C65" s="33">
        <v>62</v>
      </c>
      <c r="X65" s="33">
        <f t="shared" si="5"/>
        <v>74.2</v>
      </c>
      <c r="Y65" s="33">
        <f t="shared" si="6"/>
        <v>70.8</v>
      </c>
      <c r="Z65" s="33">
        <f t="shared" si="7"/>
        <v>68.900000000000006</v>
      </c>
      <c r="AA65" s="33">
        <f t="shared" si="8"/>
        <v>63.9</v>
      </c>
    </row>
    <row r="66" spans="1:27" x14ac:dyDescent="0.25">
      <c r="A66" s="33">
        <f>VALUE('Bejövő adatok'!B71)</f>
        <v>63.57</v>
      </c>
      <c r="B66" s="33">
        <f t="shared" si="4"/>
        <v>1.26</v>
      </c>
      <c r="C66" s="33">
        <v>63</v>
      </c>
      <c r="X66" s="33">
        <f t="shared" ref="X66:X100" si="9">R$2</f>
        <v>74.2</v>
      </c>
      <c r="Y66" s="33">
        <f t="shared" ref="Y66:Y100" si="10">S$2</f>
        <v>70.8</v>
      </c>
      <c r="Z66" s="33">
        <f t="shared" ref="Z66:Z100" si="11">T$2</f>
        <v>68.900000000000006</v>
      </c>
      <c r="AA66" s="33">
        <f t="shared" ref="AA66:AA100" si="12">U$2</f>
        <v>63.9</v>
      </c>
    </row>
    <row r="67" spans="1:27" x14ac:dyDescent="0.25">
      <c r="A67" s="33">
        <f>VALUE('Bejövő adatok'!B72)</f>
        <v>63.81</v>
      </c>
      <c r="B67" s="33">
        <f t="shared" ref="B67:B101" si="13">C67/50</f>
        <v>1.28</v>
      </c>
      <c r="C67" s="33">
        <v>64</v>
      </c>
      <c r="X67" s="33">
        <f t="shared" si="9"/>
        <v>74.2</v>
      </c>
      <c r="Y67" s="33">
        <f t="shared" si="10"/>
        <v>70.8</v>
      </c>
      <c r="Z67" s="33">
        <f t="shared" si="11"/>
        <v>68.900000000000006</v>
      </c>
      <c r="AA67" s="33">
        <f t="shared" si="12"/>
        <v>63.9</v>
      </c>
    </row>
    <row r="68" spans="1:27" x14ac:dyDescent="0.25">
      <c r="A68" s="33">
        <f>VALUE('Bejövő adatok'!B73)</f>
        <v>64.05</v>
      </c>
      <c r="B68" s="33">
        <f t="shared" si="13"/>
        <v>1.3</v>
      </c>
      <c r="C68" s="33">
        <v>65</v>
      </c>
      <c r="X68" s="33">
        <f t="shared" si="9"/>
        <v>74.2</v>
      </c>
      <c r="Y68" s="33">
        <f t="shared" si="10"/>
        <v>70.8</v>
      </c>
      <c r="Z68" s="33">
        <f t="shared" si="11"/>
        <v>68.900000000000006</v>
      </c>
      <c r="AA68" s="33">
        <f t="shared" si="12"/>
        <v>63.9</v>
      </c>
    </row>
    <row r="69" spans="1:27" x14ac:dyDescent="0.25">
      <c r="A69" s="33">
        <f>VALUE('Bejövő adatok'!B74)</f>
        <v>64.11</v>
      </c>
      <c r="B69" s="33">
        <f t="shared" si="13"/>
        <v>1.32</v>
      </c>
      <c r="C69" s="33">
        <v>66</v>
      </c>
      <c r="X69" s="33">
        <f t="shared" si="9"/>
        <v>74.2</v>
      </c>
      <c r="Y69" s="33">
        <f t="shared" si="10"/>
        <v>70.8</v>
      </c>
      <c r="Z69" s="33">
        <f t="shared" si="11"/>
        <v>68.900000000000006</v>
      </c>
      <c r="AA69" s="33">
        <f t="shared" si="12"/>
        <v>63.9</v>
      </c>
    </row>
    <row r="70" spans="1:27" x14ac:dyDescent="0.25">
      <c r="A70" s="33">
        <f>VALUE('Bejövő adatok'!B75)</f>
        <v>64.290000000000006</v>
      </c>
      <c r="B70" s="33">
        <f t="shared" si="13"/>
        <v>1.34</v>
      </c>
      <c r="C70" s="33">
        <v>67</v>
      </c>
      <c r="X70" s="33">
        <f t="shared" si="9"/>
        <v>74.2</v>
      </c>
      <c r="Y70" s="33">
        <f t="shared" si="10"/>
        <v>70.8</v>
      </c>
      <c r="Z70" s="33">
        <f t="shared" si="11"/>
        <v>68.900000000000006</v>
      </c>
      <c r="AA70" s="33">
        <f t="shared" si="12"/>
        <v>63.9</v>
      </c>
    </row>
    <row r="71" spans="1:27" x14ac:dyDescent="0.25">
      <c r="A71" s="33">
        <f>VALUE('Bejövő adatok'!B76)</f>
        <v>64.489999999999995</v>
      </c>
      <c r="B71" s="33">
        <f t="shared" si="13"/>
        <v>1.36</v>
      </c>
      <c r="C71" s="33">
        <v>68</v>
      </c>
      <c r="X71" s="33">
        <f t="shared" si="9"/>
        <v>74.2</v>
      </c>
      <c r="Y71" s="33">
        <f t="shared" si="10"/>
        <v>70.8</v>
      </c>
      <c r="Z71" s="33">
        <f t="shared" si="11"/>
        <v>68.900000000000006</v>
      </c>
      <c r="AA71" s="33">
        <f t="shared" si="12"/>
        <v>63.9</v>
      </c>
    </row>
    <row r="72" spans="1:27" x14ac:dyDescent="0.25">
      <c r="A72" s="33">
        <f>VALUE('Bejövő adatok'!B77)</f>
        <v>64.650000000000006</v>
      </c>
      <c r="B72" s="33">
        <f t="shared" si="13"/>
        <v>1.38</v>
      </c>
      <c r="C72" s="33">
        <v>69</v>
      </c>
      <c r="X72" s="33">
        <f t="shared" si="9"/>
        <v>74.2</v>
      </c>
      <c r="Y72" s="33">
        <f t="shared" si="10"/>
        <v>70.8</v>
      </c>
      <c r="Z72" s="33">
        <f t="shared" si="11"/>
        <v>68.900000000000006</v>
      </c>
      <c r="AA72" s="33">
        <f t="shared" si="12"/>
        <v>63.9</v>
      </c>
    </row>
    <row r="73" spans="1:27" x14ac:dyDescent="0.25">
      <c r="A73" s="33">
        <f>VALUE('Bejövő adatok'!B78)</f>
        <v>64.760000000000005</v>
      </c>
      <c r="B73" s="33">
        <f t="shared" si="13"/>
        <v>1.4</v>
      </c>
      <c r="C73" s="33">
        <v>70</v>
      </c>
      <c r="X73" s="33">
        <f t="shared" si="9"/>
        <v>74.2</v>
      </c>
      <c r="Y73" s="33">
        <f t="shared" si="10"/>
        <v>70.8</v>
      </c>
      <c r="Z73" s="33">
        <f t="shared" si="11"/>
        <v>68.900000000000006</v>
      </c>
      <c r="AA73" s="33">
        <f t="shared" si="12"/>
        <v>63.9</v>
      </c>
    </row>
    <row r="74" spans="1:27" x14ac:dyDescent="0.25">
      <c r="A74" s="33">
        <f>VALUE('Bejövő adatok'!B79)</f>
        <v>64.98</v>
      </c>
      <c r="B74" s="33">
        <f t="shared" si="13"/>
        <v>1.42</v>
      </c>
      <c r="C74" s="33">
        <v>71</v>
      </c>
      <c r="X74" s="33">
        <f t="shared" si="9"/>
        <v>74.2</v>
      </c>
      <c r="Y74" s="33">
        <f t="shared" si="10"/>
        <v>70.8</v>
      </c>
      <c r="Z74" s="33">
        <f t="shared" si="11"/>
        <v>68.900000000000006</v>
      </c>
      <c r="AA74" s="33">
        <f t="shared" si="12"/>
        <v>63.9</v>
      </c>
    </row>
    <row r="75" spans="1:27" x14ac:dyDescent="0.25">
      <c r="A75" s="33">
        <f>VALUE('Bejövő adatok'!B80)</f>
        <v>65.17</v>
      </c>
      <c r="B75" s="33">
        <f t="shared" si="13"/>
        <v>1.44</v>
      </c>
      <c r="C75" s="33">
        <v>72</v>
      </c>
      <c r="X75" s="33">
        <f t="shared" si="9"/>
        <v>74.2</v>
      </c>
      <c r="Y75" s="33">
        <f t="shared" si="10"/>
        <v>70.8</v>
      </c>
      <c r="Z75" s="33">
        <f t="shared" si="11"/>
        <v>68.900000000000006</v>
      </c>
      <c r="AA75" s="33">
        <f t="shared" si="12"/>
        <v>63.9</v>
      </c>
    </row>
    <row r="76" spans="1:27" x14ac:dyDescent="0.25">
      <c r="A76" s="33">
        <f>VALUE('Bejövő adatok'!B81)</f>
        <v>65.28</v>
      </c>
      <c r="B76" s="33">
        <f t="shared" si="13"/>
        <v>1.46</v>
      </c>
      <c r="C76" s="33">
        <v>73</v>
      </c>
      <c r="X76" s="33">
        <f t="shared" si="9"/>
        <v>74.2</v>
      </c>
      <c r="Y76" s="33">
        <f t="shared" si="10"/>
        <v>70.8</v>
      </c>
      <c r="Z76" s="33">
        <f t="shared" si="11"/>
        <v>68.900000000000006</v>
      </c>
      <c r="AA76" s="33">
        <f t="shared" si="12"/>
        <v>63.9</v>
      </c>
    </row>
    <row r="77" spans="1:27" x14ac:dyDescent="0.25">
      <c r="A77" s="33">
        <f>VALUE('Bejövő adatok'!B82)</f>
        <v>65.430000000000007</v>
      </c>
      <c r="B77" s="33">
        <f t="shared" si="13"/>
        <v>1.48</v>
      </c>
      <c r="C77" s="33">
        <v>74</v>
      </c>
      <c r="X77" s="33">
        <f t="shared" si="9"/>
        <v>74.2</v>
      </c>
      <c r="Y77" s="33">
        <f t="shared" si="10"/>
        <v>70.8</v>
      </c>
      <c r="Z77" s="33">
        <f t="shared" si="11"/>
        <v>68.900000000000006</v>
      </c>
      <c r="AA77" s="33">
        <f t="shared" si="12"/>
        <v>63.9</v>
      </c>
    </row>
    <row r="78" spans="1:27" x14ac:dyDescent="0.25">
      <c r="A78" s="33">
        <f>VALUE('Bejövő adatok'!B83)</f>
        <v>65.63</v>
      </c>
      <c r="B78" s="33">
        <f t="shared" si="13"/>
        <v>1.5</v>
      </c>
      <c r="C78" s="33">
        <v>75</v>
      </c>
      <c r="X78" s="33">
        <f t="shared" si="9"/>
        <v>74.2</v>
      </c>
      <c r="Y78" s="33">
        <f t="shared" si="10"/>
        <v>70.8</v>
      </c>
      <c r="Z78" s="33">
        <f t="shared" si="11"/>
        <v>68.900000000000006</v>
      </c>
      <c r="AA78" s="33">
        <f t="shared" si="12"/>
        <v>63.9</v>
      </c>
    </row>
    <row r="79" spans="1:27" x14ac:dyDescent="0.25">
      <c r="A79" s="33">
        <f>VALUE('Bejövő adatok'!B84)</f>
        <v>65.78</v>
      </c>
      <c r="B79" s="33">
        <f t="shared" si="13"/>
        <v>1.52</v>
      </c>
      <c r="C79" s="33">
        <v>76</v>
      </c>
      <c r="X79" s="33">
        <f t="shared" si="9"/>
        <v>74.2</v>
      </c>
      <c r="Y79" s="33">
        <f t="shared" si="10"/>
        <v>70.8</v>
      </c>
      <c r="Z79" s="33">
        <f t="shared" si="11"/>
        <v>68.900000000000006</v>
      </c>
      <c r="AA79" s="33">
        <f t="shared" si="12"/>
        <v>63.9</v>
      </c>
    </row>
    <row r="80" spans="1:27" x14ac:dyDescent="0.25">
      <c r="A80" s="33">
        <f>VALUE('Bejövő adatok'!B85)</f>
        <v>65.94</v>
      </c>
      <c r="B80" s="33">
        <f t="shared" si="13"/>
        <v>1.54</v>
      </c>
      <c r="C80" s="33">
        <v>77</v>
      </c>
      <c r="X80" s="33">
        <f t="shared" si="9"/>
        <v>74.2</v>
      </c>
      <c r="Y80" s="33">
        <f t="shared" si="10"/>
        <v>70.8</v>
      </c>
      <c r="Z80" s="33">
        <f t="shared" si="11"/>
        <v>68.900000000000006</v>
      </c>
      <c r="AA80" s="33">
        <f t="shared" si="12"/>
        <v>63.9</v>
      </c>
    </row>
    <row r="81" spans="1:27" x14ac:dyDescent="0.25">
      <c r="A81" s="33">
        <f>VALUE('Bejövő adatok'!B86)</f>
        <v>66.099999999999994</v>
      </c>
      <c r="B81" s="33">
        <f t="shared" si="13"/>
        <v>1.56</v>
      </c>
      <c r="C81" s="33">
        <v>78</v>
      </c>
      <c r="X81" s="33">
        <f t="shared" si="9"/>
        <v>74.2</v>
      </c>
      <c r="Y81" s="33">
        <f t="shared" si="10"/>
        <v>70.8</v>
      </c>
      <c r="Z81" s="33">
        <f t="shared" si="11"/>
        <v>68.900000000000006</v>
      </c>
      <c r="AA81" s="33">
        <f t="shared" si="12"/>
        <v>63.9</v>
      </c>
    </row>
    <row r="82" spans="1:27" x14ac:dyDescent="0.25">
      <c r="A82" s="33">
        <f>VALUE('Bejövő adatok'!B87)</f>
        <v>66.3</v>
      </c>
      <c r="B82" s="33">
        <f t="shared" si="13"/>
        <v>1.58</v>
      </c>
      <c r="C82" s="33">
        <v>79</v>
      </c>
      <c r="X82" s="33">
        <f t="shared" si="9"/>
        <v>74.2</v>
      </c>
      <c r="Y82" s="33">
        <f t="shared" si="10"/>
        <v>70.8</v>
      </c>
      <c r="Z82" s="33">
        <f t="shared" si="11"/>
        <v>68.900000000000006</v>
      </c>
      <c r="AA82" s="33">
        <f t="shared" si="12"/>
        <v>63.9</v>
      </c>
    </row>
    <row r="83" spans="1:27" x14ac:dyDescent="0.25">
      <c r="A83" s="33">
        <f>VALUE('Bejövő adatok'!B88)</f>
        <v>66.45</v>
      </c>
      <c r="B83" s="33">
        <f t="shared" si="13"/>
        <v>1.6</v>
      </c>
      <c r="C83" s="33">
        <v>80</v>
      </c>
      <c r="X83" s="33">
        <f t="shared" si="9"/>
        <v>74.2</v>
      </c>
      <c r="Y83" s="33">
        <f t="shared" si="10"/>
        <v>70.8</v>
      </c>
      <c r="Z83" s="33">
        <f t="shared" si="11"/>
        <v>68.900000000000006</v>
      </c>
      <c r="AA83" s="33">
        <f t="shared" si="12"/>
        <v>63.9</v>
      </c>
    </row>
    <row r="84" spans="1:27" x14ac:dyDescent="0.25">
      <c r="A84" s="33">
        <f>VALUE('Bejövő adatok'!B89)</f>
        <v>66.56</v>
      </c>
      <c r="B84" s="33">
        <f t="shared" si="13"/>
        <v>1.62</v>
      </c>
      <c r="C84" s="33">
        <v>81</v>
      </c>
      <c r="X84" s="33">
        <f t="shared" si="9"/>
        <v>74.2</v>
      </c>
      <c r="Y84" s="33">
        <f t="shared" si="10"/>
        <v>70.8</v>
      </c>
      <c r="Z84" s="33">
        <f t="shared" si="11"/>
        <v>68.900000000000006</v>
      </c>
      <c r="AA84" s="33">
        <f t="shared" si="12"/>
        <v>63.9</v>
      </c>
    </row>
    <row r="85" spans="1:27" x14ac:dyDescent="0.25">
      <c r="A85" s="33">
        <f>VALUE('Bejövő adatok'!B90)</f>
        <v>66.7</v>
      </c>
      <c r="B85" s="33">
        <f t="shared" si="13"/>
        <v>1.64</v>
      </c>
      <c r="C85" s="33">
        <v>82</v>
      </c>
      <c r="X85" s="33">
        <f t="shared" si="9"/>
        <v>74.2</v>
      </c>
      <c r="Y85" s="33">
        <f t="shared" si="10"/>
        <v>70.8</v>
      </c>
      <c r="Z85" s="33">
        <f t="shared" si="11"/>
        <v>68.900000000000006</v>
      </c>
      <c r="AA85" s="33">
        <f t="shared" si="12"/>
        <v>63.9</v>
      </c>
    </row>
    <row r="86" spans="1:27" x14ac:dyDescent="0.25">
      <c r="A86" s="33">
        <f>VALUE('Bejövő adatok'!B91)</f>
        <v>66.900000000000006</v>
      </c>
      <c r="B86" s="33">
        <f t="shared" si="13"/>
        <v>1.66</v>
      </c>
      <c r="C86" s="33">
        <v>83</v>
      </c>
      <c r="X86" s="33">
        <f t="shared" si="9"/>
        <v>74.2</v>
      </c>
      <c r="Y86" s="33">
        <f t="shared" si="10"/>
        <v>70.8</v>
      </c>
      <c r="Z86" s="33">
        <f t="shared" si="11"/>
        <v>68.900000000000006</v>
      </c>
      <c r="AA86" s="33">
        <f t="shared" si="12"/>
        <v>63.9</v>
      </c>
    </row>
    <row r="87" spans="1:27" x14ac:dyDescent="0.25">
      <c r="A87" s="33">
        <f>VALUE('Bejövő adatok'!B92)</f>
        <v>67.010000000000005</v>
      </c>
      <c r="B87" s="33">
        <f t="shared" si="13"/>
        <v>1.68</v>
      </c>
      <c r="C87" s="33">
        <v>84</v>
      </c>
      <c r="X87" s="33">
        <f t="shared" si="9"/>
        <v>74.2</v>
      </c>
      <c r="Y87" s="33">
        <f t="shared" si="10"/>
        <v>70.8</v>
      </c>
      <c r="Z87" s="33">
        <f t="shared" si="11"/>
        <v>68.900000000000006</v>
      </c>
      <c r="AA87" s="33">
        <f t="shared" si="12"/>
        <v>63.9</v>
      </c>
    </row>
    <row r="88" spans="1:27" x14ac:dyDescent="0.25">
      <c r="A88" s="33">
        <f>VALUE('Bejövő adatok'!B93)</f>
        <v>67.12</v>
      </c>
      <c r="B88" s="33">
        <f t="shared" si="13"/>
        <v>1.7</v>
      </c>
      <c r="C88" s="33">
        <v>85</v>
      </c>
      <c r="X88" s="33">
        <f t="shared" si="9"/>
        <v>74.2</v>
      </c>
      <c r="Y88" s="33">
        <f t="shared" si="10"/>
        <v>70.8</v>
      </c>
      <c r="Z88" s="33">
        <f t="shared" si="11"/>
        <v>68.900000000000006</v>
      </c>
      <c r="AA88" s="33">
        <f t="shared" si="12"/>
        <v>63.9</v>
      </c>
    </row>
    <row r="89" spans="1:27" x14ac:dyDescent="0.25">
      <c r="A89" s="33">
        <f>VALUE('Bejövő adatok'!B94)</f>
        <v>67.3</v>
      </c>
      <c r="B89" s="33">
        <f t="shared" si="13"/>
        <v>1.72</v>
      </c>
      <c r="C89" s="33">
        <v>86</v>
      </c>
      <c r="X89" s="33">
        <f t="shared" si="9"/>
        <v>74.2</v>
      </c>
      <c r="Y89" s="33">
        <f t="shared" si="10"/>
        <v>70.8</v>
      </c>
      <c r="Z89" s="33">
        <f t="shared" si="11"/>
        <v>68.900000000000006</v>
      </c>
      <c r="AA89" s="33">
        <f t="shared" si="12"/>
        <v>63.9</v>
      </c>
    </row>
    <row r="90" spans="1:27" x14ac:dyDescent="0.25">
      <c r="A90" s="33">
        <f>VALUE('Bejövő adatok'!B95)</f>
        <v>67.47</v>
      </c>
      <c r="B90" s="33">
        <f t="shared" si="13"/>
        <v>1.74</v>
      </c>
      <c r="C90" s="33">
        <v>87</v>
      </c>
      <c r="X90" s="33">
        <f t="shared" si="9"/>
        <v>74.2</v>
      </c>
      <c r="Y90" s="33">
        <f t="shared" si="10"/>
        <v>70.8</v>
      </c>
      <c r="Z90" s="33">
        <f t="shared" si="11"/>
        <v>68.900000000000006</v>
      </c>
      <c r="AA90" s="33">
        <f t="shared" si="12"/>
        <v>63.9</v>
      </c>
    </row>
    <row r="91" spans="1:27" x14ac:dyDescent="0.25">
      <c r="A91" s="33">
        <f>VALUE('Bejövő adatok'!B96)</f>
        <v>67.64</v>
      </c>
      <c r="B91" s="33">
        <f t="shared" si="13"/>
        <v>1.76</v>
      </c>
      <c r="C91" s="33">
        <v>88</v>
      </c>
      <c r="X91" s="33">
        <f t="shared" si="9"/>
        <v>74.2</v>
      </c>
      <c r="Y91" s="33">
        <f t="shared" si="10"/>
        <v>70.8</v>
      </c>
      <c r="Z91" s="33">
        <f t="shared" si="11"/>
        <v>68.900000000000006</v>
      </c>
      <c r="AA91" s="33">
        <f t="shared" si="12"/>
        <v>63.9</v>
      </c>
    </row>
    <row r="92" spans="1:27" x14ac:dyDescent="0.25">
      <c r="A92" s="33">
        <f>VALUE('Bejövő adatok'!B97)</f>
        <v>67.69</v>
      </c>
      <c r="B92" s="33">
        <f t="shared" si="13"/>
        <v>1.78</v>
      </c>
      <c r="C92" s="33">
        <v>89</v>
      </c>
      <c r="X92" s="33">
        <f t="shared" si="9"/>
        <v>74.2</v>
      </c>
      <c r="Y92" s="33">
        <f t="shared" si="10"/>
        <v>70.8</v>
      </c>
      <c r="Z92" s="33">
        <f t="shared" si="11"/>
        <v>68.900000000000006</v>
      </c>
      <c r="AA92" s="33">
        <f t="shared" si="12"/>
        <v>63.9</v>
      </c>
    </row>
    <row r="93" spans="1:27" x14ac:dyDescent="0.25">
      <c r="A93" s="33">
        <f>VALUE('Bejövő adatok'!B98)</f>
        <v>67.790000000000006</v>
      </c>
      <c r="B93" s="33">
        <f t="shared" si="13"/>
        <v>1.8</v>
      </c>
      <c r="C93" s="33">
        <v>90</v>
      </c>
      <c r="X93" s="33">
        <f t="shared" si="9"/>
        <v>74.2</v>
      </c>
      <c r="Y93" s="33">
        <f t="shared" si="10"/>
        <v>70.8</v>
      </c>
      <c r="Z93" s="33">
        <f t="shared" si="11"/>
        <v>68.900000000000006</v>
      </c>
      <c r="AA93" s="33">
        <f t="shared" si="12"/>
        <v>63.9</v>
      </c>
    </row>
    <row r="94" spans="1:27" x14ac:dyDescent="0.25">
      <c r="A94" s="33">
        <f>VALUE('Bejövő adatok'!B99)</f>
        <v>67.95</v>
      </c>
      <c r="B94" s="33">
        <f t="shared" si="13"/>
        <v>1.82</v>
      </c>
      <c r="C94" s="33">
        <v>91</v>
      </c>
      <c r="X94" s="33">
        <f t="shared" si="9"/>
        <v>74.2</v>
      </c>
      <c r="Y94" s="33">
        <f t="shared" si="10"/>
        <v>70.8</v>
      </c>
      <c r="Z94" s="33">
        <f t="shared" si="11"/>
        <v>68.900000000000006</v>
      </c>
      <c r="AA94" s="33">
        <f t="shared" si="12"/>
        <v>63.9</v>
      </c>
    </row>
    <row r="95" spans="1:27" x14ac:dyDescent="0.25">
      <c r="A95" s="33">
        <f>VALUE('Bejövő adatok'!B100)</f>
        <v>68.16</v>
      </c>
      <c r="B95" s="33">
        <f t="shared" si="13"/>
        <v>1.84</v>
      </c>
      <c r="C95" s="33">
        <v>92</v>
      </c>
      <c r="X95" s="33">
        <f t="shared" si="9"/>
        <v>74.2</v>
      </c>
      <c r="Y95" s="33">
        <f t="shared" si="10"/>
        <v>70.8</v>
      </c>
      <c r="Z95" s="33">
        <f t="shared" si="11"/>
        <v>68.900000000000006</v>
      </c>
      <c r="AA95" s="33">
        <f t="shared" si="12"/>
        <v>63.9</v>
      </c>
    </row>
    <row r="96" spans="1:27" x14ac:dyDescent="0.25">
      <c r="A96" s="33">
        <f>VALUE('Bejövő adatok'!B101)</f>
        <v>68.22</v>
      </c>
      <c r="B96" s="33">
        <f t="shared" si="13"/>
        <v>1.86</v>
      </c>
      <c r="C96" s="33">
        <v>93</v>
      </c>
      <c r="X96" s="33">
        <f t="shared" si="9"/>
        <v>74.2</v>
      </c>
      <c r="Y96" s="33">
        <f t="shared" si="10"/>
        <v>70.8</v>
      </c>
      <c r="Z96" s="33">
        <f t="shared" si="11"/>
        <v>68.900000000000006</v>
      </c>
      <c r="AA96" s="33">
        <f t="shared" si="12"/>
        <v>63.9</v>
      </c>
    </row>
    <row r="97" spans="1:27" x14ac:dyDescent="0.25">
      <c r="A97" s="33">
        <f>VALUE('Bejövő adatok'!B102)</f>
        <v>68.400000000000006</v>
      </c>
      <c r="B97" s="33">
        <f t="shared" si="13"/>
        <v>1.88</v>
      </c>
      <c r="C97" s="33">
        <v>94</v>
      </c>
      <c r="X97" s="33">
        <f t="shared" si="9"/>
        <v>74.2</v>
      </c>
      <c r="Y97" s="33">
        <f t="shared" si="10"/>
        <v>70.8</v>
      </c>
      <c r="Z97" s="33">
        <f t="shared" si="11"/>
        <v>68.900000000000006</v>
      </c>
      <c r="AA97" s="33">
        <f t="shared" si="12"/>
        <v>63.9</v>
      </c>
    </row>
    <row r="98" spans="1:27" x14ac:dyDescent="0.25">
      <c r="A98" s="33">
        <f>VALUE('Bejövő adatok'!B103)</f>
        <v>68.47</v>
      </c>
      <c r="B98" s="33">
        <f t="shared" si="13"/>
        <v>1.9</v>
      </c>
      <c r="C98" s="33">
        <v>95</v>
      </c>
      <c r="X98" s="33">
        <f t="shared" si="9"/>
        <v>74.2</v>
      </c>
      <c r="Y98" s="33">
        <f t="shared" si="10"/>
        <v>70.8</v>
      </c>
      <c r="Z98" s="33">
        <f t="shared" si="11"/>
        <v>68.900000000000006</v>
      </c>
      <c r="AA98" s="33">
        <f t="shared" si="12"/>
        <v>63.9</v>
      </c>
    </row>
    <row r="99" spans="1:27" x14ac:dyDescent="0.25">
      <c r="A99" s="33">
        <f>VALUE('Bejövő adatok'!B104)</f>
        <v>68.63</v>
      </c>
      <c r="B99" s="33">
        <f t="shared" si="13"/>
        <v>1.92</v>
      </c>
      <c r="C99" s="33">
        <v>96</v>
      </c>
      <c r="X99" s="33">
        <f t="shared" si="9"/>
        <v>74.2</v>
      </c>
      <c r="Y99" s="33">
        <f t="shared" si="10"/>
        <v>70.8</v>
      </c>
      <c r="Z99" s="33">
        <f t="shared" si="11"/>
        <v>68.900000000000006</v>
      </c>
      <c r="AA99" s="33">
        <f t="shared" si="12"/>
        <v>63.9</v>
      </c>
    </row>
    <row r="100" spans="1:27" x14ac:dyDescent="0.25">
      <c r="A100" s="33">
        <f>VALUE('Bejövő adatok'!B105)</f>
        <v>68.760000000000005</v>
      </c>
      <c r="B100" s="33">
        <f t="shared" si="13"/>
        <v>1.94</v>
      </c>
      <c r="C100" s="33">
        <v>97</v>
      </c>
      <c r="X100" s="33">
        <f t="shared" si="9"/>
        <v>74.2</v>
      </c>
      <c r="Y100" s="33">
        <f t="shared" si="10"/>
        <v>70.8</v>
      </c>
      <c r="Z100" s="33">
        <f t="shared" si="11"/>
        <v>68.900000000000006</v>
      </c>
      <c r="AA100" s="33">
        <f t="shared" si="12"/>
        <v>63.9</v>
      </c>
    </row>
    <row r="101" spans="1:27" x14ac:dyDescent="0.25">
      <c r="A101" s="33">
        <f>VALUE('Bejövő adatok'!B106)</f>
        <v>64.83</v>
      </c>
      <c r="B101" s="33">
        <f t="shared" si="13"/>
        <v>1.96</v>
      </c>
      <c r="C101" s="33">
        <v>98</v>
      </c>
    </row>
    <row r="102" spans="1:27" x14ac:dyDescent="0.25">
      <c r="A102" s="33">
        <f>VALUE('Bejövő adatok'!B107)</f>
        <v>57.45</v>
      </c>
      <c r="B102" s="33">
        <f>C102/50</f>
        <v>1.98</v>
      </c>
      <c r="C102" s="33">
        <v>99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Scroll Bar 1">
              <controlPr defaultSize="0" autoPict="0">
                <anchor moveWithCells="1">
                  <from>
                    <xdr:col>17</xdr:col>
                    <xdr:colOff>85725</xdr:colOff>
                    <xdr:row>1</xdr:row>
                    <xdr:rowOff>257175</xdr:rowOff>
                  </from>
                  <to>
                    <xdr:col>17</xdr:col>
                    <xdr:colOff>428625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Scroll Bar 3">
              <controlPr defaultSize="0" autoPict="0">
                <anchor moveWithCells="1">
                  <from>
                    <xdr:col>18</xdr:col>
                    <xdr:colOff>95250</xdr:colOff>
                    <xdr:row>1</xdr:row>
                    <xdr:rowOff>257175</xdr:rowOff>
                  </from>
                  <to>
                    <xdr:col>18</xdr:col>
                    <xdr:colOff>438150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Scroll Bar 4">
              <controlPr defaultSize="0" autoPict="0">
                <anchor moveWithCells="1">
                  <from>
                    <xdr:col>19</xdr:col>
                    <xdr:colOff>66675</xdr:colOff>
                    <xdr:row>1</xdr:row>
                    <xdr:rowOff>257175</xdr:rowOff>
                  </from>
                  <to>
                    <xdr:col>19</xdr:col>
                    <xdr:colOff>409575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Scroll Bar 5">
              <controlPr defaultSize="0" autoPict="0">
                <anchor moveWithCells="1">
                  <from>
                    <xdr:col>20</xdr:col>
                    <xdr:colOff>47625</xdr:colOff>
                    <xdr:row>2</xdr:row>
                    <xdr:rowOff>0</xdr:rowOff>
                  </from>
                  <to>
                    <xdr:col>20</xdr:col>
                    <xdr:colOff>371475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ED81-B9E8-448B-88F9-ECD002049FD9}">
  <dimension ref="A1:K107"/>
  <sheetViews>
    <sheetView topLeftCell="A93" workbookViewId="0">
      <selection activeCell="B53" sqref="B53"/>
    </sheetView>
  </sheetViews>
  <sheetFormatPr defaultColWidth="8.85546875" defaultRowHeight="15" x14ac:dyDescent="0.25"/>
  <cols>
    <col min="1" max="1" width="14.7109375" style="1" customWidth="1"/>
    <col min="2" max="11" width="10.7109375" style="1" customWidth="1"/>
    <col min="12" max="12" width="20.7109375" style="1" customWidth="1"/>
    <col min="13" max="16384" width="8.85546875" style="1"/>
  </cols>
  <sheetData>
    <row r="1" spans="1:11" ht="30.75" x14ac:dyDescent="0.55000000000000004">
      <c r="A1" s="38" t="s">
        <v>36</v>
      </c>
      <c r="B1" s="38"/>
      <c r="C1" s="38"/>
      <c r="D1" s="38"/>
      <c r="E1" s="38"/>
      <c r="F1" s="38"/>
      <c r="G1" s="38"/>
      <c r="H1" s="38"/>
      <c r="I1" s="38"/>
      <c r="J1" s="38"/>
    </row>
    <row r="2" spans="1:11" ht="16.5" x14ac:dyDescent="0.25">
      <c r="A2" s="39" t="s">
        <v>31</v>
      </c>
      <c r="B2" s="39"/>
      <c r="C2" s="39"/>
      <c r="D2" s="39"/>
      <c r="E2" s="39"/>
      <c r="F2" s="39"/>
      <c r="G2" s="39"/>
      <c r="H2" s="39"/>
      <c r="I2" s="39"/>
      <c r="J2" s="39"/>
    </row>
    <row r="3" spans="1:11" ht="33.6" customHeight="1" x14ac:dyDescent="0.35">
      <c r="A3" s="59" t="s">
        <v>32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x14ac:dyDescent="0.25">
      <c r="A4" s="13" t="s">
        <v>33</v>
      </c>
      <c r="B4" s="13" t="s">
        <v>11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</row>
    <row r="5" spans="1:11" ht="19.5" customHeight="1" x14ac:dyDescent="0.25">
      <c r="A5" s="15">
        <v>46275.803306296293</v>
      </c>
      <c r="B5" s="14">
        <v>64.83</v>
      </c>
      <c r="C5" s="14">
        <v>68.760000000000005</v>
      </c>
      <c r="D5" s="14">
        <v>69.959999999999994</v>
      </c>
      <c r="E5" s="14">
        <v>2.21</v>
      </c>
      <c r="F5" s="14"/>
      <c r="G5" s="14"/>
      <c r="H5" s="14"/>
      <c r="I5" s="14"/>
      <c r="J5" s="14"/>
      <c r="K5" s="14"/>
    </row>
    <row r="6" spans="1:11" ht="33.6" customHeight="1" x14ac:dyDescent="0.35">
      <c r="A6" s="60" t="s">
        <v>34</v>
      </c>
      <c r="B6" s="60"/>
      <c r="C6" s="60"/>
      <c r="D6" s="60"/>
      <c r="E6" s="60"/>
      <c r="F6" s="60"/>
      <c r="G6" s="60"/>
      <c r="H6" s="60"/>
      <c r="I6" s="60"/>
      <c r="J6" s="60"/>
      <c r="K6" s="60"/>
    </row>
    <row r="7" spans="1:11" x14ac:dyDescent="0.25">
      <c r="A7" s="13" t="s">
        <v>33</v>
      </c>
      <c r="B7" s="13" t="s">
        <v>11</v>
      </c>
      <c r="C7" s="13" t="s">
        <v>13</v>
      </c>
      <c r="D7" s="13" t="s">
        <v>14</v>
      </c>
      <c r="E7" s="13" t="s">
        <v>15</v>
      </c>
      <c r="F7" s="13" t="s">
        <v>16</v>
      </c>
      <c r="G7" s="13" t="s">
        <v>17</v>
      </c>
      <c r="H7" s="13" t="s">
        <v>18</v>
      </c>
      <c r="I7" s="13" t="s">
        <v>19</v>
      </c>
      <c r="J7" s="13" t="s">
        <v>20</v>
      </c>
      <c r="K7" s="13" t="s">
        <v>21</v>
      </c>
    </row>
    <row r="8" spans="1:11" ht="19.5" customHeight="1" x14ac:dyDescent="0.25">
      <c r="A8" s="18">
        <v>46275.803283611109</v>
      </c>
      <c r="B8" s="16">
        <v>64.09</v>
      </c>
      <c r="C8" s="16">
        <v>68.819999999999993</v>
      </c>
      <c r="D8" s="16">
        <v>70.319999999999993</v>
      </c>
      <c r="E8" s="16">
        <v>2.44</v>
      </c>
      <c r="F8" s="16"/>
      <c r="G8" s="16"/>
      <c r="H8" s="16"/>
      <c r="I8" s="16"/>
      <c r="J8" s="16"/>
      <c r="K8" s="16"/>
    </row>
    <row r="9" spans="1:11" ht="19.5" customHeight="1" x14ac:dyDescent="0.25">
      <c r="A9" s="19">
        <v>46275.803283842593</v>
      </c>
      <c r="B9" s="17">
        <v>64.22</v>
      </c>
      <c r="C9" s="17">
        <v>68.819999999999993</v>
      </c>
      <c r="D9" s="17">
        <v>70.319999999999993</v>
      </c>
      <c r="E9" s="17">
        <v>2.44</v>
      </c>
      <c r="F9" s="17"/>
      <c r="G9" s="17"/>
      <c r="H9" s="17"/>
      <c r="I9" s="17"/>
      <c r="J9" s="17"/>
      <c r="K9" s="17"/>
    </row>
    <row r="10" spans="1:11" ht="19.5" customHeight="1" x14ac:dyDescent="0.25">
      <c r="A10" s="19">
        <v>46275.803284074071</v>
      </c>
      <c r="B10" s="17">
        <v>64.42</v>
      </c>
      <c r="C10" s="17">
        <v>68.819999999999993</v>
      </c>
      <c r="D10" s="17">
        <v>70.319999999999993</v>
      </c>
      <c r="E10" s="17">
        <v>2.44</v>
      </c>
      <c r="F10" s="17"/>
      <c r="G10" s="17"/>
      <c r="H10" s="17"/>
      <c r="I10" s="17"/>
      <c r="J10" s="17"/>
      <c r="K10" s="17"/>
    </row>
    <row r="11" spans="1:11" ht="19.5" customHeight="1" x14ac:dyDescent="0.25">
      <c r="A11" s="19">
        <v>46275.803284305555</v>
      </c>
      <c r="B11" s="17">
        <v>64.650000000000006</v>
      </c>
      <c r="C11" s="17">
        <v>68.819999999999993</v>
      </c>
      <c r="D11" s="17">
        <v>70.319999999999993</v>
      </c>
      <c r="E11" s="17">
        <v>2.44</v>
      </c>
      <c r="F11" s="17"/>
      <c r="G11" s="17"/>
      <c r="H11" s="17"/>
      <c r="I11" s="17"/>
      <c r="J11" s="17"/>
      <c r="K11" s="17"/>
    </row>
    <row r="12" spans="1:11" ht="19.5" customHeight="1" x14ac:dyDescent="0.25">
      <c r="A12" s="19">
        <v>46275.80328453704</v>
      </c>
      <c r="B12" s="17">
        <v>64.78</v>
      </c>
      <c r="C12" s="17">
        <v>68.819999999999993</v>
      </c>
      <c r="D12" s="17">
        <v>70.319999999999993</v>
      </c>
      <c r="E12" s="17">
        <v>2.44</v>
      </c>
      <c r="F12" s="17"/>
      <c r="G12" s="17"/>
      <c r="H12" s="17"/>
      <c r="I12" s="17"/>
      <c r="J12" s="17"/>
      <c r="K12" s="17"/>
    </row>
    <row r="13" spans="1:11" ht="19.5" customHeight="1" x14ac:dyDescent="0.25">
      <c r="A13" s="19">
        <v>46275.803284768517</v>
      </c>
      <c r="B13" s="17">
        <v>65.03</v>
      </c>
      <c r="C13" s="17">
        <v>68.819999999999993</v>
      </c>
      <c r="D13" s="17">
        <v>70.319999999999993</v>
      </c>
      <c r="E13" s="37">
        <v>2.44</v>
      </c>
      <c r="F13" s="17"/>
      <c r="G13" s="17"/>
      <c r="H13" s="17"/>
      <c r="I13" s="17"/>
      <c r="J13" s="17"/>
      <c r="K13" s="17"/>
    </row>
    <row r="14" spans="1:11" ht="19.5" customHeight="1" x14ac:dyDescent="0.25">
      <c r="A14" s="19">
        <v>46275.803285000002</v>
      </c>
      <c r="B14" s="17">
        <v>65.17</v>
      </c>
      <c r="C14" s="17">
        <v>68.819999999999993</v>
      </c>
      <c r="D14" s="17">
        <v>70.319999999999993</v>
      </c>
      <c r="E14" s="17">
        <v>2.44</v>
      </c>
      <c r="F14" s="17"/>
      <c r="G14" s="17"/>
      <c r="H14" s="17"/>
      <c r="I14" s="17"/>
      <c r="J14" s="17"/>
      <c r="K14" s="17"/>
    </row>
    <row r="15" spans="1:11" ht="19.5" customHeight="1" x14ac:dyDescent="0.25">
      <c r="A15" s="19">
        <v>46275.803285231479</v>
      </c>
      <c r="B15" s="17">
        <v>65.28</v>
      </c>
      <c r="C15" s="17">
        <v>68.819999999999993</v>
      </c>
      <c r="D15" s="17">
        <v>70.319999999999993</v>
      </c>
      <c r="E15" s="17">
        <v>2.44</v>
      </c>
      <c r="F15" s="17"/>
      <c r="G15" s="17"/>
      <c r="H15" s="17"/>
      <c r="I15" s="17"/>
      <c r="J15" s="17"/>
      <c r="K15" s="17"/>
    </row>
    <row r="16" spans="1:11" ht="19.5" customHeight="1" x14ac:dyDescent="0.25">
      <c r="A16" s="19">
        <v>46275.803285462964</v>
      </c>
      <c r="B16" s="17">
        <v>65.42</v>
      </c>
      <c r="C16" s="17">
        <v>68.819999999999993</v>
      </c>
      <c r="D16" s="37">
        <v>70.319999999999993</v>
      </c>
      <c r="E16" s="17">
        <v>2.44</v>
      </c>
      <c r="F16" s="17"/>
      <c r="G16" s="17"/>
      <c r="H16" s="17"/>
      <c r="I16" s="17"/>
      <c r="J16" s="17"/>
      <c r="K16" s="17"/>
    </row>
    <row r="17" spans="1:11" ht="19.5" customHeight="1" x14ac:dyDescent="0.25">
      <c r="A17" s="19">
        <v>46275.803285682872</v>
      </c>
      <c r="B17" s="17">
        <v>65.59</v>
      </c>
      <c r="C17" s="17">
        <v>68.819999999999993</v>
      </c>
      <c r="D17" s="17">
        <v>70.319999999999993</v>
      </c>
      <c r="E17" s="17">
        <v>2.44</v>
      </c>
      <c r="F17" s="17"/>
      <c r="G17" s="17"/>
      <c r="H17" s="17"/>
      <c r="I17" s="17"/>
      <c r="J17" s="17"/>
      <c r="K17" s="17"/>
    </row>
    <row r="18" spans="1:11" ht="19.5" customHeight="1" x14ac:dyDescent="0.25">
      <c r="A18" s="19">
        <v>46275.803285925926</v>
      </c>
      <c r="B18" s="17">
        <v>65.760000000000005</v>
      </c>
      <c r="C18" s="17">
        <v>68.819999999999993</v>
      </c>
      <c r="D18" s="17">
        <v>70.319999999999993</v>
      </c>
      <c r="E18" s="17">
        <v>2.44</v>
      </c>
      <c r="F18" s="17"/>
      <c r="G18" s="17"/>
      <c r="H18" s="17"/>
      <c r="I18" s="17"/>
      <c r="J18" s="17"/>
      <c r="K18" s="17"/>
    </row>
    <row r="19" spans="1:11" ht="19.5" customHeight="1" x14ac:dyDescent="0.25">
      <c r="A19" s="19">
        <v>46275.80328615741</v>
      </c>
      <c r="B19" s="17">
        <v>65.91</v>
      </c>
      <c r="C19" s="17">
        <v>68.819999999999993</v>
      </c>
      <c r="D19" s="17">
        <v>70.319999999999993</v>
      </c>
      <c r="E19" s="17">
        <v>2.44</v>
      </c>
      <c r="F19" s="17"/>
      <c r="G19" s="17"/>
      <c r="H19" s="17"/>
      <c r="I19" s="17"/>
      <c r="J19" s="17"/>
      <c r="K19" s="17"/>
    </row>
    <row r="20" spans="1:11" ht="19.5" customHeight="1" x14ac:dyDescent="0.25">
      <c r="A20" s="19">
        <v>46275.803286388887</v>
      </c>
      <c r="B20" s="17">
        <v>66.09</v>
      </c>
      <c r="C20" s="17">
        <v>68.819999999999993</v>
      </c>
      <c r="D20" s="17">
        <v>70.319999999999993</v>
      </c>
      <c r="E20" s="17">
        <v>2.44</v>
      </c>
      <c r="F20" s="17"/>
      <c r="G20" s="17"/>
      <c r="H20" s="17"/>
      <c r="I20" s="17"/>
      <c r="J20" s="17"/>
      <c r="K20" s="17"/>
    </row>
    <row r="21" spans="1:11" ht="19.5" customHeight="1" x14ac:dyDescent="0.25">
      <c r="A21" s="19">
        <v>46275.803286620372</v>
      </c>
      <c r="B21" s="17">
        <v>66.290000000000006</v>
      </c>
      <c r="C21" s="17">
        <v>68.819999999999993</v>
      </c>
      <c r="D21" s="17">
        <v>70.319999999999993</v>
      </c>
      <c r="E21" s="17">
        <v>2.44</v>
      </c>
      <c r="F21" s="17"/>
      <c r="G21" s="17"/>
      <c r="H21" s="17"/>
      <c r="I21" s="17"/>
      <c r="J21" s="17"/>
      <c r="K21" s="17"/>
    </row>
    <row r="22" spans="1:11" ht="19.5" customHeight="1" x14ac:dyDescent="0.25">
      <c r="A22" s="19">
        <v>46275.803286851849</v>
      </c>
      <c r="B22" s="17">
        <v>66.45</v>
      </c>
      <c r="C22" s="17">
        <v>68.819999999999993</v>
      </c>
      <c r="D22" s="17">
        <v>70.319999999999993</v>
      </c>
      <c r="E22" s="37">
        <v>2.44</v>
      </c>
      <c r="F22" s="17"/>
      <c r="G22" s="17"/>
      <c r="H22" s="17"/>
      <c r="I22" s="17"/>
      <c r="J22" s="17"/>
      <c r="K22" s="17"/>
    </row>
    <row r="23" spans="1:11" ht="19.5" customHeight="1" x14ac:dyDescent="0.25">
      <c r="A23" s="19">
        <v>46275.803287071758</v>
      </c>
      <c r="B23" s="17">
        <v>66.53</v>
      </c>
      <c r="C23" s="17">
        <v>68.819999999999993</v>
      </c>
      <c r="D23" s="17">
        <v>70.319999999999993</v>
      </c>
      <c r="E23" s="17">
        <v>2.44</v>
      </c>
      <c r="F23" s="17"/>
      <c r="G23" s="17"/>
      <c r="H23" s="17"/>
      <c r="I23" s="17"/>
      <c r="J23" s="17"/>
      <c r="K23" s="17"/>
    </row>
    <row r="24" spans="1:11" ht="19.5" customHeight="1" x14ac:dyDescent="0.25">
      <c r="A24" s="19">
        <v>46275.803287314811</v>
      </c>
      <c r="B24" s="17">
        <v>66.650000000000006</v>
      </c>
      <c r="C24" s="17">
        <v>68.819999999999993</v>
      </c>
      <c r="D24" s="17">
        <v>70.319999999999993</v>
      </c>
      <c r="E24" s="17">
        <v>2.44</v>
      </c>
      <c r="F24" s="17"/>
      <c r="G24" s="17"/>
      <c r="H24" s="17"/>
      <c r="I24" s="17"/>
      <c r="J24" s="17"/>
      <c r="K24" s="17"/>
    </row>
    <row r="25" spans="1:11" ht="19.5" customHeight="1" x14ac:dyDescent="0.25">
      <c r="A25" s="19">
        <v>46275.803287546296</v>
      </c>
      <c r="B25" s="17">
        <v>66.83</v>
      </c>
      <c r="C25" s="17">
        <v>68.819999999999993</v>
      </c>
      <c r="D25" s="37">
        <v>70.319999999999993</v>
      </c>
      <c r="E25" s="17">
        <v>2.44</v>
      </c>
      <c r="F25" s="17"/>
      <c r="G25" s="17"/>
      <c r="H25" s="17"/>
      <c r="I25" s="17"/>
      <c r="J25" s="17"/>
      <c r="K25" s="17"/>
    </row>
    <row r="26" spans="1:11" ht="19.5" customHeight="1" x14ac:dyDescent="0.25">
      <c r="A26" s="19">
        <v>46275.803287766204</v>
      </c>
      <c r="B26" s="17">
        <v>67.010000000000005</v>
      </c>
      <c r="C26" s="17">
        <v>68.819999999999993</v>
      </c>
      <c r="D26" s="17">
        <v>70.319999999999993</v>
      </c>
      <c r="E26" s="17">
        <v>2.44</v>
      </c>
      <c r="F26" s="17"/>
      <c r="G26" s="17"/>
      <c r="H26" s="17"/>
      <c r="I26" s="17"/>
      <c r="J26" s="17"/>
      <c r="K26" s="17"/>
    </row>
    <row r="27" spans="1:11" ht="19.5" customHeight="1" x14ac:dyDescent="0.25">
      <c r="A27" s="19">
        <v>46275.803288009258</v>
      </c>
      <c r="B27" s="17">
        <v>67.11</v>
      </c>
      <c r="C27" s="17">
        <v>68.819999999999993</v>
      </c>
      <c r="D27" s="17">
        <v>70.319999999999993</v>
      </c>
      <c r="E27" s="17">
        <v>2.44</v>
      </c>
      <c r="F27" s="17"/>
      <c r="G27" s="17"/>
      <c r="H27" s="17"/>
      <c r="I27" s="17"/>
      <c r="J27" s="17"/>
      <c r="K27" s="17"/>
    </row>
    <row r="28" spans="1:11" ht="19.5" customHeight="1" x14ac:dyDescent="0.25">
      <c r="A28" s="19">
        <v>46275.803288240742</v>
      </c>
      <c r="B28" s="17">
        <v>67.28</v>
      </c>
      <c r="C28" s="17">
        <v>68.819999999999993</v>
      </c>
      <c r="D28" s="17">
        <v>70.319999999999993</v>
      </c>
      <c r="E28" s="17">
        <v>2.44</v>
      </c>
      <c r="F28" s="17"/>
      <c r="G28" s="17"/>
      <c r="H28" s="17"/>
      <c r="I28" s="17"/>
      <c r="J28" s="17"/>
      <c r="K28" s="17"/>
    </row>
    <row r="29" spans="1:11" ht="19.5" customHeight="1" x14ac:dyDescent="0.25">
      <c r="A29" s="19">
        <v>46275.80328847222</v>
      </c>
      <c r="B29" s="17">
        <v>67.430000000000007</v>
      </c>
      <c r="C29" s="17">
        <v>68.819999999999993</v>
      </c>
      <c r="D29" s="17">
        <v>70.319999999999993</v>
      </c>
      <c r="E29" s="17">
        <v>2.44</v>
      </c>
      <c r="F29" s="17"/>
      <c r="G29" s="17"/>
      <c r="H29" s="17"/>
      <c r="I29" s="17"/>
      <c r="J29" s="17"/>
      <c r="K29" s="17"/>
    </row>
    <row r="30" spans="1:11" ht="19.5" customHeight="1" x14ac:dyDescent="0.25">
      <c r="A30" s="19">
        <v>46275.803288692128</v>
      </c>
      <c r="B30" s="17">
        <v>67.58</v>
      </c>
      <c r="C30" s="17">
        <v>68.819999999999993</v>
      </c>
      <c r="D30" s="17">
        <v>70.319999999999993</v>
      </c>
      <c r="E30" s="17">
        <v>2.44</v>
      </c>
      <c r="F30" s="17"/>
      <c r="G30" s="17"/>
      <c r="H30" s="17"/>
      <c r="I30" s="17"/>
      <c r="J30" s="17"/>
      <c r="K30" s="17"/>
    </row>
    <row r="31" spans="1:11" ht="19.5" customHeight="1" x14ac:dyDescent="0.25">
      <c r="A31" s="19">
        <v>46275.803288935182</v>
      </c>
      <c r="B31" s="17">
        <v>67.69</v>
      </c>
      <c r="C31" s="17">
        <v>68.819999999999993</v>
      </c>
      <c r="D31" s="17">
        <v>70.319999999999993</v>
      </c>
      <c r="E31" s="37">
        <v>2.44</v>
      </c>
      <c r="F31" s="17"/>
      <c r="G31" s="17"/>
      <c r="H31" s="17"/>
      <c r="I31" s="17"/>
      <c r="J31" s="17"/>
      <c r="K31" s="17"/>
    </row>
    <row r="32" spans="1:11" ht="19.5" customHeight="1" x14ac:dyDescent="0.25">
      <c r="A32" s="19">
        <v>46275.803289166666</v>
      </c>
      <c r="B32" s="17">
        <v>67.790000000000006</v>
      </c>
      <c r="C32" s="17">
        <v>68.819999999999993</v>
      </c>
      <c r="D32" s="17">
        <v>70.319999999999993</v>
      </c>
      <c r="E32" s="17">
        <v>2.44</v>
      </c>
      <c r="F32" s="17"/>
      <c r="G32" s="17"/>
      <c r="H32" s="17"/>
      <c r="I32" s="17"/>
      <c r="J32" s="17"/>
      <c r="K32" s="17"/>
    </row>
    <row r="33" spans="1:11" ht="19.5" customHeight="1" x14ac:dyDescent="0.25">
      <c r="A33" s="19">
        <v>46275.803289386575</v>
      </c>
      <c r="B33" s="17">
        <v>67.95</v>
      </c>
      <c r="C33" s="17">
        <v>68.819999999999993</v>
      </c>
      <c r="D33" s="17">
        <v>70.319999999999993</v>
      </c>
      <c r="E33" s="17">
        <v>2.44</v>
      </c>
      <c r="F33" s="17"/>
      <c r="G33" s="17"/>
      <c r="H33" s="17"/>
      <c r="I33" s="17"/>
      <c r="J33" s="17"/>
      <c r="K33" s="17"/>
    </row>
    <row r="34" spans="1:11" ht="19.5" customHeight="1" x14ac:dyDescent="0.25">
      <c r="A34" s="19">
        <v>46275.803289629628</v>
      </c>
      <c r="B34" s="17">
        <v>68.08</v>
      </c>
      <c r="C34" s="17">
        <v>68.819999999999993</v>
      </c>
      <c r="D34" s="17">
        <v>70.319999999999993</v>
      </c>
      <c r="E34" s="17">
        <v>2.44</v>
      </c>
      <c r="F34" s="17"/>
      <c r="G34" s="17"/>
      <c r="H34" s="17"/>
      <c r="I34" s="17"/>
      <c r="J34" s="17"/>
      <c r="K34" s="17"/>
    </row>
    <row r="35" spans="1:11" ht="19.5" customHeight="1" x14ac:dyDescent="0.25">
      <c r="A35" s="19">
        <v>46275.803289861113</v>
      </c>
      <c r="B35" s="17">
        <v>68.23</v>
      </c>
      <c r="C35" s="17">
        <v>68.819999999999993</v>
      </c>
      <c r="D35" s="17">
        <v>70.319999999999993</v>
      </c>
      <c r="E35" s="17">
        <v>2.44</v>
      </c>
      <c r="F35" s="17"/>
      <c r="G35" s="17"/>
      <c r="H35" s="17"/>
      <c r="I35" s="17"/>
      <c r="J35" s="17"/>
      <c r="K35" s="17"/>
    </row>
    <row r="36" spans="1:11" ht="19.5" customHeight="1" x14ac:dyDescent="0.25">
      <c r="A36" s="19">
        <v>46275.80329009259</v>
      </c>
      <c r="B36" s="17">
        <v>68.36</v>
      </c>
      <c r="C36" s="17">
        <v>68.819999999999993</v>
      </c>
      <c r="D36" s="17">
        <v>70.319999999999993</v>
      </c>
      <c r="E36" s="17">
        <v>2.44</v>
      </c>
      <c r="F36" s="17"/>
      <c r="G36" s="17"/>
      <c r="H36" s="17"/>
      <c r="I36" s="17"/>
      <c r="J36" s="17"/>
      <c r="K36" s="17"/>
    </row>
    <row r="37" spans="1:11" ht="19.5" customHeight="1" x14ac:dyDescent="0.25">
      <c r="A37" s="19">
        <v>46275.803290324075</v>
      </c>
      <c r="B37" s="17">
        <v>68.510000000000005</v>
      </c>
      <c r="C37" s="17">
        <v>68.819999999999993</v>
      </c>
      <c r="D37" s="17">
        <v>70.319999999999993</v>
      </c>
      <c r="E37" s="17">
        <v>2.44</v>
      </c>
      <c r="F37" s="17"/>
      <c r="G37" s="17"/>
      <c r="H37" s="17"/>
      <c r="I37" s="17"/>
      <c r="J37" s="17"/>
      <c r="K37" s="17"/>
    </row>
    <row r="38" spans="1:11" ht="19.5" customHeight="1" x14ac:dyDescent="0.25">
      <c r="A38" s="19">
        <v>46275.803290555552</v>
      </c>
      <c r="B38" s="17">
        <v>68.650000000000006</v>
      </c>
      <c r="C38" s="17">
        <v>68.819999999999993</v>
      </c>
      <c r="D38" s="17">
        <v>70.319999999999993</v>
      </c>
      <c r="E38" s="17">
        <v>2.44</v>
      </c>
      <c r="F38" s="17"/>
      <c r="G38" s="17"/>
      <c r="H38" s="17"/>
      <c r="I38" s="17"/>
      <c r="J38" s="17"/>
      <c r="K38" s="17"/>
    </row>
    <row r="39" spans="1:11" ht="19.5" customHeight="1" x14ac:dyDescent="0.25">
      <c r="A39" s="19">
        <v>46275.80329077546</v>
      </c>
      <c r="B39" s="17">
        <v>68.739999999999995</v>
      </c>
      <c r="C39" s="17">
        <v>68.819999999999993</v>
      </c>
      <c r="D39" s="17">
        <v>70.319999999999993</v>
      </c>
      <c r="E39" s="17">
        <v>2.44</v>
      </c>
      <c r="F39" s="17"/>
      <c r="G39" s="17"/>
      <c r="H39" s="17"/>
      <c r="I39" s="17"/>
      <c r="J39" s="17"/>
      <c r="K39" s="17"/>
    </row>
    <row r="40" spans="1:11" ht="19.5" customHeight="1" x14ac:dyDescent="0.25">
      <c r="A40" s="19">
        <v>46275.803291018521</v>
      </c>
      <c r="B40" s="17">
        <v>68.819999999999993</v>
      </c>
      <c r="C40" s="17">
        <v>68.819999999999993</v>
      </c>
      <c r="D40" s="17">
        <v>70.319999999999993</v>
      </c>
      <c r="E40" s="37">
        <v>2.44</v>
      </c>
      <c r="F40" s="17"/>
      <c r="G40" s="17"/>
      <c r="H40" s="17"/>
      <c r="I40" s="17"/>
      <c r="J40" s="17"/>
      <c r="K40" s="17"/>
    </row>
    <row r="41" spans="1:11" ht="19.5" customHeight="1" x14ac:dyDescent="0.25">
      <c r="A41" s="19">
        <v>46275.803291249998</v>
      </c>
      <c r="B41" s="17">
        <v>57.45</v>
      </c>
      <c r="C41" s="17">
        <v>68.819999999999993</v>
      </c>
      <c r="D41" s="17">
        <v>70.14</v>
      </c>
      <c r="E41" s="17">
        <v>2.34</v>
      </c>
      <c r="F41" s="17"/>
      <c r="G41" s="17"/>
      <c r="H41" s="17"/>
      <c r="I41" s="17"/>
      <c r="J41" s="17"/>
      <c r="K41" s="17"/>
    </row>
    <row r="42" spans="1:11" ht="19.5" customHeight="1" x14ac:dyDescent="0.25">
      <c r="A42" s="19">
        <v>46275.803291481483</v>
      </c>
      <c r="B42" s="17">
        <v>57.45</v>
      </c>
      <c r="C42" s="17">
        <v>68.819999999999993</v>
      </c>
      <c r="D42" s="17">
        <v>70.14</v>
      </c>
      <c r="E42" s="17">
        <v>2.34</v>
      </c>
      <c r="F42" s="17"/>
      <c r="G42" s="17"/>
      <c r="H42" s="17"/>
      <c r="I42" s="17"/>
      <c r="J42" s="17"/>
      <c r="K42" s="17"/>
    </row>
    <row r="43" spans="1:11" ht="19.5" customHeight="1" x14ac:dyDescent="0.25">
      <c r="A43" s="19">
        <v>46275.803291701392</v>
      </c>
      <c r="B43" s="17">
        <v>58.17</v>
      </c>
      <c r="C43" s="17">
        <v>68.819999999999993</v>
      </c>
      <c r="D43" s="17">
        <v>70.14</v>
      </c>
      <c r="E43" s="17">
        <v>2.34</v>
      </c>
      <c r="F43" s="17"/>
      <c r="G43" s="17"/>
      <c r="H43" s="17"/>
      <c r="I43" s="17"/>
      <c r="J43" s="17"/>
      <c r="K43" s="17"/>
    </row>
    <row r="44" spans="1:11" ht="19.5" customHeight="1" x14ac:dyDescent="0.25">
      <c r="A44" s="19">
        <v>46275.803291944445</v>
      </c>
      <c r="B44" s="17">
        <v>58.41</v>
      </c>
      <c r="C44" s="17">
        <v>68.819999999999993</v>
      </c>
      <c r="D44" s="17">
        <v>70.14</v>
      </c>
      <c r="E44" s="17">
        <v>2.34</v>
      </c>
      <c r="F44" s="17"/>
      <c r="G44" s="17"/>
      <c r="H44" s="17"/>
      <c r="I44" s="17"/>
      <c r="J44" s="17"/>
      <c r="K44" s="17"/>
    </row>
    <row r="45" spans="1:11" ht="19.5" customHeight="1" x14ac:dyDescent="0.25">
      <c r="A45" s="19">
        <v>46275.80329217593</v>
      </c>
      <c r="B45" s="17">
        <v>58.66</v>
      </c>
      <c r="C45" s="17">
        <v>68.819999999999993</v>
      </c>
      <c r="D45" s="17">
        <v>70.14</v>
      </c>
      <c r="E45" s="17">
        <v>2.34</v>
      </c>
      <c r="F45" s="17"/>
      <c r="G45" s="17"/>
      <c r="H45" s="17"/>
      <c r="I45" s="17"/>
      <c r="J45" s="17"/>
      <c r="K45" s="17"/>
    </row>
    <row r="46" spans="1:11" ht="19.5" customHeight="1" x14ac:dyDescent="0.25">
      <c r="A46" s="19">
        <v>46275.803292407407</v>
      </c>
      <c r="B46" s="17">
        <v>58.9</v>
      </c>
      <c r="C46" s="17">
        <v>68.819999999999993</v>
      </c>
      <c r="D46" s="17">
        <v>70.14</v>
      </c>
      <c r="E46" s="17">
        <v>2.34</v>
      </c>
      <c r="F46" s="17"/>
      <c r="G46" s="17"/>
      <c r="H46" s="17"/>
      <c r="I46" s="17"/>
      <c r="J46" s="17"/>
      <c r="K46" s="17"/>
    </row>
    <row r="47" spans="1:11" ht="19.5" customHeight="1" x14ac:dyDescent="0.25">
      <c r="A47" s="19">
        <v>46275.803292638891</v>
      </c>
      <c r="B47" s="17">
        <v>59.12</v>
      </c>
      <c r="C47" s="17">
        <v>68.819999999999993</v>
      </c>
      <c r="D47" s="17">
        <v>70.14</v>
      </c>
      <c r="E47" s="17">
        <v>2.34</v>
      </c>
      <c r="F47" s="17"/>
      <c r="G47" s="17"/>
      <c r="H47" s="17"/>
      <c r="I47" s="17"/>
      <c r="J47" s="17"/>
      <c r="K47" s="17"/>
    </row>
    <row r="48" spans="1:11" ht="19.5" customHeight="1" x14ac:dyDescent="0.25">
      <c r="A48" s="19">
        <v>46275.803292870369</v>
      </c>
      <c r="B48" s="17">
        <v>59.28</v>
      </c>
      <c r="C48" s="17">
        <v>68.819999999999993</v>
      </c>
      <c r="D48" s="37">
        <v>70.14</v>
      </c>
      <c r="E48" s="17">
        <v>2.34</v>
      </c>
      <c r="F48" s="17"/>
      <c r="G48" s="17"/>
      <c r="H48" s="17"/>
      <c r="I48" s="17"/>
      <c r="J48" s="17"/>
      <c r="K48" s="17"/>
    </row>
    <row r="49" spans="1:11" ht="19.5" customHeight="1" x14ac:dyDescent="0.25">
      <c r="A49" s="19">
        <v>46275.803293090277</v>
      </c>
      <c r="B49" s="17">
        <v>59.45</v>
      </c>
      <c r="C49" s="17">
        <v>68.819999999999993</v>
      </c>
      <c r="D49" s="17">
        <v>70.14</v>
      </c>
      <c r="E49" s="17">
        <v>2.34</v>
      </c>
      <c r="F49" s="17"/>
      <c r="G49" s="17"/>
      <c r="H49" s="17"/>
      <c r="I49" s="17"/>
      <c r="J49" s="17"/>
      <c r="K49" s="17"/>
    </row>
    <row r="50" spans="1:11" ht="19.5" customHeight="1" x14ac:dyDescent="0.25">
      <c r="A50" s="19">
        <v>46275.803293333331</v>
      </c>
      <c r="B50" s="17">
        <v>59.69</v>
      </c>
      <c r="C50" s="17">
        <v>68.819999999999993</v>
      </c>
      <c r="D50" s="17">
        <v>70.14</v>
      </c>
      <c r="E50" s="37">
        <v>2.34</v>
      </c>
      <c r="F50" s="17"/>
      <c r="G50" s="17"/>
      <c r="H50" s="17"/>
      <c r="I50" s="17"/>
      <c r="J50" s="17"/>
      <c r="K50" s="17"/>
    </row>
    <row r="51" spans="1:11" ht="19.5" customHeight="1" x14ac:dyDescent="0.25">
      <c r="A51" s="19">
        <v>46275.803293564815</v>
      </c>
      <c r="B51" s="17">
        <v>59.87</v>
      </c>
      <c r="C51" s="17">
        <v>68.819999999999993</v>
      </c>
      <c r="D51" s="17">
        <v>70.14</v>
      </c>
      <c r="E51" s="17">
        <v>2.34</v>
      </c>
      <c r="F51" s="17"/>
      <c r="G51" s="17"/>
      <c r="H51" s="17"/>
      <c r="I51" s="17"/>
      <c r="J51" s="17"/>
      <c r="K51" s="17"/>
    </row>
    <row r="52" spans="1:11" ht="19.5" customHeight="1" x14ac:dyDescent="0.25">
      <c r="A52" s="19">
        <v>46275.8032937963</v>
      </c>
      <c r="B52" s="17">
        <v>60.01</v>
      </c>
      <c r="C52" s="17">
        <v>68.819999999999993</v>
      </c>
      <c r="D52" s="17">
        <v>70.14</v>
      </c>
      <c r="E52" s="17">
        <v>2.34</v>
      </c>
      <c r="F52" s="17"/>
      <c r="G52" s="17"/>
      <c r="H52" s="17"/>
      <c r="I52" s="17"/>
      <c r="J52" s="17"/>
      <c r="K52" s="17"/>
    </row>
    <row r="53" spans="1:11" ht="19.5" customHeight="1" x14ac:dyDescent="0.25">
      <c r="A53" s="19">
        <v>46275.803294027777</v>
      </c>
      <c r="B53" s="17">
        <v>60.28</v>
      </c>
      <c r="C53" s="17">
        <v>68.819999999999993</v>
      </c>
      <c r="D53" s="17">
        <v>70.14</v>
      </c>
      <c r="E53" s="17">
        <v>2.34</v>
      </c>
      <c r="F53" s="17"/>
      <c r="G53" s="17"/>
      <c r="H53" s="17"/>
      <c r="I53" s="17"/>
      <c r="J53" s="17"/>
      <c r="K53" s="17"/>
    </row>
    <row r="54" spans="1:11" ht="19.5" customHeight="1" x14ac:dyDescent="0.25">
      <c r="A54" s="19">
        <v>46275.803294259262</v>
      </c>
      <c r="B54" s="17">
        <v>60.48</v>
      </c>
      <c r="C54" s="17">
        <v>68.819999999999993</v>
      </c>
      <c r="D54" s="17">
        <v>70.14</v>
      </c>
      <c r="E54" s="17">
        <v>2.34</v>
      </c>
      <c r="F54" s="17"/>
      <c r="G54" s="17"/>
      <c r="H54" s="17"/>
      <c r="I54" s="17"/>
      <c r="J54" s="17"/>
      <c r="K54" s="17"/>
    </row>
    <row r="55" spans="1:11" ht="19.5" customHeight="1" x14ac:dyDescent="0.25">
      <c r="A55" s="19">
        <v>46275.803294490739</v>
      </c>
      <c r="B55" s="17">
        <v>60.58</v>
      </c>
      <c r="C55" s="17">
        <v>68.819999999999993</v>
      </c>
      <c r="D55" s="17">
        <v>70.14</v>
      </c>
      <c r="E55" s="17">
        <v>2.34</v>
      </c>
      <c r="F55" s="17"/>
      <c r="G55" s="17"/>
      <c r="H55" s="17"/>
      <c r="I55" s="17"/>
      <c r="J55" s="17"/>
      <c r="K55" s="17"/>
    </row>
    <row r="56" spans="1:11" ht="19.5" customHeight="1" x14ac:dyDescent="0.25">
      <c r="A56" s="19">
        <v>46275.803294722224</v>
      </c>
      <c r="B56" s="17">
        <v>60.84</v>
      </c>
      <c r="C56" s="17">
        <v>68.819999999999993</v>
      </c>
      <c r="D56" s="17">
        <v>70.14</v>
      </c>
      <c r="E56" s="17">
        <v>2.34</v>
      </c>
      <c r="F56" s="17"/>
      <c r="G56" s="17"/>
      <c r="H56" s="17"/>
      <c r="I56" s="17"/>
      <c r="J56" s="17"/>
      <c r="K56" s="17"/>
    </row>
    <row r="57" spans="1:11" ht="19.5" customHeight="1" x14ac:dyDescent="0.25">
      <c r="A57" s="19">
        <v>46275.803294953701</v>
      </c>
      <c r="B57" s="17">
        <v>61.04</v>
      </c>
      <c r="C57" s="17">
        <v>68.819999999999993</v>
      </c>
      <c r="D57" s="17">
        <v>70.14</v>
      </c>
      <c r="E57" s="17">
        <v>2.34</v>
      </c>
      <c r="F57" s="17"/>
      <c r="G57" s="17"/>
      <c r="H57" s="17"/>
      <c r="I57" s="17"/>
      <c r="J57" s="17"/>
      <c r="K57" s="17"/>
    </row>
    <row r="58" spans="1:11" ht="19.5" customHeight="1" x14ac:dyDescent="0.25">
      <c r="A58" s="19">
        <v>46275.803295185186</v>
      </c>
      <c r="B58" s="17">
        <v>61.25</v>
      </c>
      <c r="C58" s="17">
        <v>68.819999999999993</v>
      </c>
      <c r="D58" s="17">
        <v>70.14</v>
      </c>
      <c r="E58" s="17">
        <v>2.34</v>
      </c>
      <c r="F58" s="17"/>
      <c r="G58" s="17"/>
      <c r="H58" s="17"/>
      <c r="I58" s="17"/>
      <c r="J58" s="17"/>
      <c r="K58" s="17"/>
    </row>
    <row r="59" spans="1:11" ht="19.5" customHeight="1" x14ac:dyDescent="0.25">
      <c r="A59" s="19">
        <v>46275.80329541667</v>
      </c>
      <c r="B59" s="17">
        <v>61.48</v>
      </c>
      <c r="C59" s="17">
        <v>68.819999999999993</v>
      </c>
      <c r="D59" s="17">
        <v>70.14</v>
      </c>
      <c r="E59" s="37">
        <v>2.34</v>
      </c>
      <c r="F59" s="17"/>
      <c r="G59" s="17"/>
      <c r="H59" s="17"/>
      <c r="I59" s="17"/>
      <c r="J59" s="17"/>
      <c r="K59" s="17"/>
    </row>
    <row r="60" spans="1:11" ht="19.5" customHeight="1" x14ac:dyDescent="0.25">
      <c r="A60" s="19">
        <v>46275.803295648147</v>
      </c>
      <c r="B60" s="17">
        <v>61.65</v>
      </c>
      <c r="C60" s="17">
        <v>68.819999999999993</v>
      </c>
      <c r="D60" s="17">
        <v>70.14</v>
      </c>
      <c r="E60" s="17">
        <v>2.34</v>
      </c>
      <c r="F60" s="17"/>
      <c r="G60" s="17"/>
      <c r="H60" s="17"/>
      <c r="I60" s="17"/>
      <c r="J60" s="17"/>
      <c r="K60" s="17"/>
    </row>
    <row r="61" spans="1:11" ht="19.5" customHeight="1" x14ac:dyDescent="0.25">
      <c r="A61" s="19">
        <v>46275.803295879632</v>
      </c>
      <c r="B61" s="17">
        <v>61.76</v>
      </c>
      <c r="C61" s="17">
        <v>68.819999999999993</v>
      </c>
      <c r="D61" s="17">
        <v>70.14</v>
      </c>
      <c r="E61" s="17">
        <v>2.34</v>
      </c>
      <c r="F61" s="17"/>
      <c r="G61" s="17"/>
      <c r="H61" s="17"/>
      <c r="I61" s="17"/>
      <c r="J61" s="17"/>
      <c r="K61" s="17"/>
    </row>
    <row r="62" spans="1:11" ht="19.5" customHeight="1" x14ac:dyDescent="0.25">
      <c r="A62" s="19">
        <v>46275.803296111109</v>
      </c>
      <c r="B62" s="17">
        <v>61.94</v>
      </c>
      <c r="C62" s="17">
        <v>68.819999999999993</v>
      </c>
      <c r="D62" s="37">
        <v>70.14</v>
      </c>
      <c r="E62" s="17">
        <v>2.34</v>
      </c>
      <c r="F62" s="17"/>
      <c r="G62" s="17"/>
      <c r="H62" s="17"/>
      <c r="I62" s="17"/>
      <c r="J62" s="17"/>
      <c r="K62" s="17"/>
    </row>
    <row r="63" spans="1:11" ht="19.5" customHeight="1" x14ac:dyDescent="0.25">
      <c r="A63" s="19">
        <v>46275.803296342594</v>
      </c>
      <c r="B63" s="17">
        <v>62.19</v>
      </c>
      <c r="C63" s="17">
        <v>68.819999999999993</v>
      </c>
      <c r="D63" s="17">
        <v>70.14</v>
      </c>
      <c r="E63" s="17">
        <v>2.34</v>
      </c>
      <c r="F63" s="17"/>
      <c r="G63" s="17"/>
      <c r="H63" s="17"/>
      <c r="I63" s="17"/>
      <c r="J63" s="17"/>
      <c r="K63" s="17"/>
    </row>
    <row r="64" spans="1:11" ht="19.5" customHeight="1" x14ac:dyDescent="0.25">
      <c r="A64" s="19">
        <v>46275.803296574071</v>
      </c>
      <c r="B64" s="17">
        <v>62.33</v>
      </c>
      <c r="C64" s="17">
        <v>68.819999999999993</v>
      </c>
      <c r="D64" s="17">
        <v>70.14</v>
      </c>
      <c r="E64" s="17">
        <v>2.34</v>
      </c>
      <c r="F64" s="17"/>
      <c r="G64" s="17"/>
      <c r="H64" s="17"/>
      <c r="I64" s="17"/>
      <c r="J64" s="17"/>
      <c r="K64" s="17"/>
    </row>
    <row r="65" spans="1:11" ht="19.5" customHeight="1" x14ac:dyDescent="0.25">
      <c r="A65" s="19">
        <v>46275.803296805556</v>
      </c>
      <c r="B65" s="17">
        <v>62.52</v>
      </c>
      <c r="C65" s="17">
        <v>68.819999999999993</v>
      </c>
      <c r="D65" s="17">
        <v>70.14</v>
      </c>
      <c r="E65" s="17">
        <v>2.34</v>
      </c>
      <c r="F65" s="17"/>
      <c r="G65" s="17"/>
      <c r="H65" s="17"/>
      <c r="I65" s="17"/>
      <c r="J65" s="17"/>
      <c r="K65" s="17"/>
    </row>
    <row r="66" spans="1:11" ht="19.5" customHeight="1" x14ac:dyDescent="0.25">
      <c r="A66" s="19">
        <v>46275.80329703704</v>
      </c>
      <c r="B66" s="17">
        <v>62.78</v>
      </c>
      <c r="C66" s="17">
        <v>68.819999999999993</v>
      </c>
      <c r="D66" s="17">
        <v>70.14</v>
      </c>
      <c r="E66" s="17">
        <v>2.34</v>
      </c>
      <c r="F66" s="17"/>
      <c r="G66" s="17"/>
      <c r="H66" s="17"/>
      <c r="I66" s="17"/>
      <c r="J66" s="17"/>
      <c r="K66" s="17"/>
    </row>
    <row r="67" spans="1:11" ht="19.5" customHeight="1" x14ac:dyDescent="0.25">
      <c r="A67" s="19">
        <v>46275.803297268518</v>
      </c>
      <c r="B67" s="17">
        <v>62.87</v>
      </c>
      <c r="C67" s="17">
        <v>68.819999999999993</v>
      </c>
      <c r="D67" s="17">
        <v>70.14</v>
      </c>
      <c r="E67" s="17">
        <v>2.34</v>
      </c>
      <c r="F67" s="17"/>
      <c r="G67" s="17"/>
      <c r="H67" s="17"/>
      <c r="I67" s="17"/>
      <c r="J67" s="17"/>
      <c r="K67" s="17"/>
    </row>
    <row r="68" spans="1:11" ht="19.5" customHeight="1" x14ac:dyDescent="0.25">
      <c r="A68" s="19">
        <v>46275.803297500002</v>
      </c>
      <c r="B68" s="17">
        <v>63.02</v>
      </c>
      <c r="C68" s="17">
        <v>68.819999999999993</v>
      </c>
      <c r="D68" s="17">
        <v>70.14</v>
      </c>
      <c r="E68" s="17">
        <v>2.34</v>
      </c>
      <c r="F68" s="17"/>
      <c r="G68" s="17"/>
      <c r="H68" s="17"/>
      <c r="I68" s="17"/>
      <c r="J68" s="17"/>
      <c r="K68" s="17"/>
    </row>
    <row r="69" spans="1:11" ht="19.5" customHeight="1" x14ac:dyDescent="0.25">
      <c r="A69" s="19">
        <v>46275.80329773148</v>
      </c>
      <c r="B69" s="17">
        <v>63.28</v>
      </c>
      <c r="C69" s="17">
        <v>68.819999999999993</v>
      </c>
      <c r="D69" s="17">
        <v>70.14</v>
      </c>
      <c r="E69" s="37">
        <v>2.34</v>
      </c>
      <c r="F69" s="17"/>
      <c r="G69" s="17"/>
      <c r="H69" s="17"/>
      <c r="I69" s="17"/>
      <c r="J69" s="17"/>
      <c r="K69" s="17"/>
    </row>
    <row r="70" spans="1:11" ht="19.5" customHeight="1" x14ac:dyDescent="0.25">
      <c r="A70" s="19">
        <v>46275.803297962964</v>
      </c>
      <c r="B70" s="17">
        <v>63.43</v>
      </c>
      <c r="C70" s="17">
        <v>68.819999999999993</v>
      </c>
      <c r="D70" s="17">
        <v>70.14</v>
      </c>
      <c r="E70" s="17">
        <v>2.34</v>
      </c>
      <c r="F70" s="17"/>
      <c r="G70" s="17"/>
      <c r="H70" s="17"/>
      <c r="I70" s="17"/>
      <c r="J70" s="17"/>
      <c r="K70" s="17"/>
    </row>
    <row r="71" spans="1:11" ht="19.5" customHeight="1" x14ac:dyDescent="0.25">
      <c r="A71" s="19">
        <v>46275.803298194442</v>
      </c>
      <c r="B71" s="17">
        <v>63.57</v>
      </c>
      <c r="C71" s="17">
        <v>68.819999999999993</v>
      </c>
      <c r="D71" s="17">
        <v>70.14</v>
      </c>
      <c r="E71" s="17">
        <v>2.34</v>
      </c>
      <c r="F71" s="17"/>
      <c r="G71" s="17"/>
      <c r="H71" s="17"/>
      <c r="I71" s="17"/>
      <c r="J71" s="17"/>
      <c r="K71" s="17"/>
    </row>
    <row r="72" spans="1:11" ht="19.5" customHeight="1" x14ac:dyDescent="0.25">
      <c r="A72" s="19">
        <v>46275.803298425926</v>
      </c>
      <c r="B72" s="17">
        <v>63.81</v>
      </c>
      <c r="C72" s="17">
        <v>68.819999999999993</v>
      </c>
      <c r="D72" s="37">
        <v>70.14</v>
      </c>
      <c r="E72" s="17">
        <v>2.34</v>
      </c>
      <c r="F72" s="17"/>
      <c r="G72" s="17"/>
      <c r="H72" s="17"/>
      <c r="I72" s="17"/>
      <c r="J72" s="17"/>
      <c r="K72" s="17"/>
    </row>
    <row r="73" spans="1:11" ht="19.5" customHeight="1" x14ac:dyDescent="0.25">
      <c r="A73" s="19">
        <v>46275.803298657411</v>
      </c>
      <c r="B73" s="17">
        <v>64.05</v>
      </c>
      <c r="C73" s="17">
        <v>68.819999999999993</v>
      </c>
      <c r="D73" s="17">
        <v>70.14</v>
      </c>
      <c r="E73" s="17">
        <v>2.34</v>
      </c>
      <c r="F73" s="17"/>
      <c r="G73" s="17"/>
      <c r="H73" s="17"/>
      <c r="I73" s="17"/>
      <c r="J73" s="17"/>
      <c r="K73" s="17"/>
    </row>
    <row r="74" spans="1:11" ht="19.5" customHeight="1" x14ac:dyDescent="0.25">
      <c r="A74" s="19">
        <v>46275.803298888888</v>
      </c>
      <c r="B74" s="17">
        <v>64.11</v>
      </c>
      <c r="C74" s="17">
        <v>68.819999999999993</v>
      </c>
      <c r="D74" s="17">
        <v>70.14</v>
      </c>
      <c r="E74" s="17">
        <v>2.34</v>
      </c>
      <c r="F74" s="17"/>
      <c r="G74" s="17"/>
      <c r="H74" s="17"/>
      <c r="I74" s="17"/>
      <c r="J74" s="17"/>
      <c r="K74" s="17"/>
    </row>
    <row r="75" spans="1:11" ht="19.5" customHeight="1" x14ac:dyDescent="0.25">
      <c r="A75" s="19">
        <v>46275.803299120373</v>
      </c>
      <c r="B75" s="17">
        <v>64.290000000000006</v>
      </c>
      <c r="C75" s="17">
        <v>68.819999999999993</v>
      </c>
      <c r="D75" s="17">
        <v>70.14</v>
      </c>
      <c r="E75" s="17">
        <v>2.34</v>
      </c>
      <c r="F75" s="17"/>
      <c r="G75" s="17"/>
      <c r="H75" s="17"/>
      <c r="I75" s="17"/>
      <c r="J75" s="17"/>
      <c r="K75" s="17"/>
    </row>
    <row r="76" spans="1:11" ht="19.5" customHeight="1" x14ac:dyDescent="0.25">
      <c r="A76" s="19">
        <v>46275.80329935185</v>
      </c>
      <c r="B76" s="17">
        <v>64.489999999999995</v>
      </c>
      <c r="C76" s="17">
        <v>68.819999999999993</v>
      </c>
      <c r="D76" s="17">
        <v>70.14</v>
      </c>
      <c r="E76" s="17">
        <v>2.34</v>
      </c>
      <c r="F76" s="17"/>
      <c r="G76" s="17"/>
      <c r="H76" s="17"/>
      <c r="I76" s="17"/>
      <c r="J76" s="17"/>
      <c r="K76" s="17"/>
    </row>
    <row r="77" spans="1:11" ht="19.5" customHeight="1" x14ac:dyDescent="0.25">
      <c r="A77" s="19">
        <v>46275.803299583335</v>
      </c>
      <c r="B77" s="17">
        <v>64.650000000000006</v>
      </c>
      <c r="C77" s="17">
        <v>68.819999999999993</v>
      </c>
      <c r="D77" s="17">
        <v>70.14</v>
      </c>
      <c r="E77" s="17">
        <v>2.34</v>
      </c>
      <c r="F77" s="17"/>
      <c r="G77" s="17"/>
      <c r="H77" s="17"/>
      <c r="I77" s="17"/>
      <c r="J77" s="17"/>
      <c r="K77" s="17"/>
    </row>
    <row r="78" spans="1:11" ht="19.5" customHeight="1" x14ac:dyDescent="0.25">
      <c r="A78" s="19">
        <v>46275.803299814812</v>
      </c>
      <c r="B78" s="17">
        <v>64.760000000000005</v>
      </c>
      <c r="C78" s="17">
        <v>68.819999999999993</v>
      </c>
      <c r="D78" s="17">
        <v>70.14</v>
      </c>
      <c r="E78" s="17">
        <v>2.34</v>
      </c>
      <c r="F78" s="17"/>
      <c r="G78" s="17"/>
      <c r="H78" s="17"/>
      <c r="I78" s="17"/>
      <c r="J78" s="17"/>
      <c r="K78" s="17"/>
    </row>
    <row r="79" spans="1:11" ht="19.5" customHeight="1" x14ac:dyDescent="0.25">
      <c r="A79" s="19">
        <v>46275.803300046296</v>
      </c>
      <c r="B79" s="17">
        <v>64.98</v>
      </c>
      <c r="C79" s="17">
        <v>68.819999999999993</v>
      </c>
      <c r="D79" s="17">
        <v>70.14</v>
      </c>
      <c r="E79" s="37">
        <v>2.34</v>
      </c>
      <c r="F79" s="17"/>
      <c r="G79" s="17"/>
      <c r="H79" s="17"/>
      <c r="I79" s="17"/>
      <c r="J79" s="17"/>
      <c r="K79" s="17"/>
    </row>
    <row r="80" spans="1:11" ht="19.5" customHeight="1" x14ac:dyDescent="0.25">
      <c r="A80" s="19">
        <v>46275.803300266205</v>
      </c>
      <c r="B80" s="17">
        <v>65.17</v>
      </c>
      <c r="C80" s="17">
        <v>68.819999999999993</v>
      </c>
      <c r="D80" s="17">
        <v>70.14</v>
      </c>
      <c r="E80" s="17">
        <v>2.34</v>
      </c>
      <c r="F80" s="17"/>
      <c r="G80" s="17"/>
      <c r="H80" s="17"/>
      <c r="I80" s="17"/>
      <c r="J80" s="17"/>
      <c r="K80" s="17"/>
    </row>
    <row r="81" spans="1:11" ht="19.5" customHeight="1" x14ac:dyDescent="0.25">
      <c r="A81" s="19">
        <v>46275.803300509258</v>
      </c>
      <c r="B81" s="17">
        <v>65.28</v>
      </c>
      <c r="C81" s="17">
        <v>68.819999999999993</v>
      </c>
      <c r="D81" s="37">
        <v>70.14</v>
      </c>
      <c r="E81" s="17">
        <v>2.34</v>
      </c>
      <c r="F81" s="17"/>
      <c r="G81" s="17"/>
      <c r="H81" s="17"/>
      <c r="I81" s="17"/>
      <c r="J81" s="17"/>
      <c r="K81" s="17"/>
    </row>
    <row r="82" spans="1:11" ht="19.5" customHeight="1" x14ac:dyDescent="0.25">
      <c r="A82" s="19">
        <v>46275.803300740743</v>
      </c>
      <c r="B82" s="17">
        <v>65.430000000000007</v>
      </c>
      <c r="C82" s="17">
        <v>68.819999999999993</v>
      </c>
      <c r="D82" s="17">
        <v>70.14</v>
      </c>
      <c r="E82" s="17">
        <v>2.34</v>
      </c>
      <c r="F82" s="17"/>
      <c r="G82" s="17"/>
      <c r="H82" s="17"/>
      <c r="I82" s="17"/>
      <c r="J82" s="17"/>
      <c r="K82" s="17"/>
    </row>
    <row r="83" spans="1:11" ht="19.5" customHeight="1" x14ac:dyDescent="0.25">
      <c r="A83" s="19">
        <v>46275.80330097222</v>
      </c>
      <c r="B83" s="17">
        <v>65.63</v>
      </c>
      <c r="C83" s="17">
        <v>68.819999999999993</v>
      </c>
      <c r="D83" s="17">
        <v>70.14</v>
      </c>
      <c r="E83" s="17">
        <v>2.34</v>
      </c>
      <c r="F83" s="17"/>
      <c r="G83" s="17"/>
      <c r="H83" s="17"/>
      <c r="I83" s="17"/>
      <c r="J83" s="17"/>
      <c r="K83" s="17"/>
    </row>
    <row r="84" spans="1:11" ht="19.5" customHeight="1" x14ac:dyDescent="0.25">
      <c r="A84" s="19">
        <v>46275.803301203705</v>
      </c>
      <c r="B84" s="17">
        <v>65.78</v>
      </c>
      <c r="C84" s="17">
        <v>68.819999999999993</v>
      </c>
      <c r="D84" s="17">
        <v>70.14</v>
      </c>
      <c r="E84" s="17">
        <v>2.34</v>
      </c>
      <c r="F84" s="17"/>
      <c r="G84" s="17"/>
      <c r="H84" s="17"/>
      <c r="I84" s="17"/>
      <c r="J84" s="17"/>
      <c r="K84" s="17"/>
    </row>
    <row r="85" spans="1:11" ht="19.5" customHeight="1" x14ac:dyDescent="0.25">
      <c r="A85" s="19">
        <v>46275.803301435182</v>
      </c>
      <c r="B85" s="17">
        <v>65.94</v>
      </c>
      <c r="C85" s="17">
        <v>68.819999999999993</v>
      </c>
      <c r="D85" s="17">
        <v>70.14</v>
      </c>
      <c r="E85" s="17">
        <v>2.34</v>
      </c>
      <c r="F85" s="17"/>
      <c r="G85" s="17"/>
      <c r="H85" s="17"/>
      <c r="I85" s="17"/>
      <c r="J85" s="17"/>
      <c r="K85" s="17"/>
    </row>
    <row r="86" spans="1:11" ht="19.5" customHeight="1" x14ac:dyDescent="0.25">
      <c r="A86" s="19">
        <v>46275.803301666667</v>
      </c>
      <c r="B86" s="17">
        <v>66.099999999999994</v>
      </c>
      <c r="C86" s="17">
        <v>68.819999999999993</v>
      </c>
      <c r="D86" s="17">
        <v>70.14</v>
      </c>
      <c r="E86" s="17">
        <v>2.34</v>
      </c>
      <c r="F86" s="17"/>
      <c r="G86" s="17"/>
      <c r="H86" s="17"/>
      <c r="I86" s="17"/>
      <c r="J86" s="17"/>
      <c r="K86" s="17"/>
    </row>
    <row r="87" spans="1:11" ht="19.5" customHeight="1" x14ac:dyDescent="0.25">
      <c r="A87" s="19">
        <v>46275.803301898151</v>
      </c>
      <c r="B87" s="17">
        <v>66.3</v>
      </c>
      <c r="C87" s="17">
        <v>68.819999999999993</v>
      </c>
      <c r="D87" s="17">
        <v>70.14</v>
      </c>
      <c r="E87" s="17">
        <v>2.34</v>
      </c>
      <c r="F87" s="17"/>
      <c r="G87" s="17"/>
      <c r="H87" s="17"/>
      <c r="I87" s="17"/>
      <c r="J87" s="17"/>
      <c r="K87" s="17"/>
    </row>
    <row r="88" spans="1:11" ht="19.5" customHeight="1" x14ac:dyDescent="0.25">
      <c r="A88" s="19">
        <v>46275.803302129629</v>
      </c>
      <c r="B88" s="17">
        <v>66.45</v>
      </c>
      <c r="C88" s="17">
        <v>68.819999999999993</v>
      </c>
      <c r="D88" s="17">
        <v>70.14</v>
      </c>
      <c r="E88" s="37">
        <v>2.34</v>
      </c>
      <c r="F88" s="17"/>
      <c r="G88" s="17"/>
      <c r="H88" s="17"/>
      <c r="I88" s="17"/>
      <c r="J88" s="17"/>
      <c r="K88" s="17"/>
    </row>
    <row r="89" spans="1:11" ht="19.5" customHeight="1" x14ac:dyDescent="0.25">
      <c r="A89" s="19">
        <v>46275.803302349537</v>
      </c>
      <c r="B89" s="17">
        <v>66.56</v>
      </c>
      <c r="C89" s="17">
        <v>68.819999999999993</v>
      </c>
      <c r="D89" s="17">
        <v>70.14</v>
      </c>
      <c r="E89" s="17">
        <v>2.34</v>
      </c>
      <c r="F89" s="17"/>
      <c r="G89" s="17"/>
      <c r="H89" s="17"/>
      <c r="I89" s="17"/>
      <c r="J89" s="17"/>
      <c r="K89" s="17"/>
    </row>
    <row r="90" spans="1:11" ht="19.5" customHeight="1" x14ac:dyDescent="0.25">
      <c r="A90" s="19">
        <v>46275.803302592591</v>
      </c>
      <c r="B90" s="17">
        <v>66.7</v>
      </c>
      <c r="C90" s="17">
        <v>68.819999999999993</v>
      </c>
      <c r="D90" s="17">
        <v>70.14</v>
      </c>
      <c r="E90" s="17">
        <v>2.34</v>
      </c>
      <c r="F90" s="17"/>
      <c r="G90" s="17"/>
      <c r="H90" s="17"/>
      <c r="I90" s="17"/>
      <c r="J90" s="17"/>
      <c r="K90" s="17"/>
    </row>
    <row r="91" spans="1:11" ht="19.5" customHeight="1" x14ac:dyDescent="0.25">
      <c r="A91" s="19">
        <v>46275.803302824075</v>
      </c>
      <c r="B91" s="17">
        <v>66.900000000000006</v>
      </c>
      <c r="C91" s="17">
        <v>68.819999999999993</v>
      </c>
      <c r="D91" s="17">
        <v>70.14</v>
      </c>
      <c r="E91" s="17">
        <v>2.34</v>
      </c>
      <c r="F91" s="17"/>
      <c r="G91" s="17"/>
      <c r="H91" s="17"/>
      <c r="I91" s="17"/>
      <c r="J91" s="17"/>
      <c r="K91" s="17"/>
    </row>
    <row r="92" spans="1:11" ht="19.5" customHeight="1" x14ac:dyDescent="0.25">
      <c r="A92" s="19">
        <v>46275.803303055553</v>
      </c>
      <c r="B92" s="17">
        <v>67.010000000000005</v>
      </c>
      <c r="C92" s="17">
        <v>68.819999999999993</v>
      </c>
      <c r="D92" s="37">
        <v>70.14</v>
      </c>
      <c r="E92" s="17">
        <v>2.34</v>
      </c>
      <c r="F92" s="17"/>
      <c r="G92" s="17"/>
      <c r="H92" s="17"/>
      <c r="I92" s="17"/>
      <c r="J92" s="17"/>
      <c r="K92" s="17"/>
    </row>
    <row r="93" spans="1:11" ht="19.5" customHeight="1" x14ac:dyDescent="0.25">
      <c r="A93" s="19">
        <v>46275.803303287037</v>
      </c>
      <c r="B93" s="17">
        <v>67.12</v>
      </c>
      <c r="C93" s="17">
        <v>68.819999999999993</v>
      </c>
      <c r="D93" s="17">
        <v>70.14</v>
      </c>
      <c r="E93" s="17">
        <v>2.34</v>
      </c>
      <c r="F93" s="17"/>
      <c r="G93" s="17"/>
      <c r="H93" s="17"/>
      <c r="I93" s="17"/>
      <c r="J93" s="17"/>
      <c r="K93" s="17"/>
    </row>
    <row r="94" spans="1:11" ht="19.5" customHeight="1" x14ac:dyDescent="0.25">
      <c r="A94" s="19">
        <v>46275.803303518522</v>
      </c>
      <c r="B94" s="17">
        <v>67.3</v>
      </c>
      <c r="C94" s="17">
        <v>68.819999999999993</v>
      </c>
      <c r="D94" s="17">
        <v>70.14</v>
      </c>
      <c r="E94" s="17">
        <v>2.34</v>
      </c>
      <c r="F94" s="17"/>
      <c r="G94" s="17"/>
      <c r="H94" s="17"/>
      <c r="I94" s="17"/>
      <c r="J94" s="17"/>
      <c r="K94" s="17"/>
    </row>
    <row r="95" spans="1:11" ht="19.5" customHeight="1" x14ac:dyDescent="0.25">
      <c r="A95" s="19">
        <v>46275.803303749999</v>
      </c>
      <c r="B95" s="17">
        <v>67.47</v>
      </c>
      <c r="C95" s="17">
        <v>68.819999999999993</v>
      </c>
      <c r="D95" s="17">
        <v>70.14</v>
      </c>
      <c r="E95" s="17">
        <v>2.34</v>
      </c>
      <c r="F95" s="17"/>
      <c r="G95" s="17"/>
      <c r="H95" s="17"/>
      <c r="I95" s="17"/>
      <c r="J95" s="17"/>
      <c r="K95" s="17"/>
    </row>
    <row r="96" spans="1:11" ht="19.5" customHeight="1" x14ac:dyDescent="0.25">
      <c r="A96" s="19">
        <v>46275.803303981484</v>
      </c>
      <c r="B96" s="17">
        <v>67.64</v>
      </c>
      <c r="C96" s="17">
        <v>68.819999999999993</v>
      </c>
      <c r="D96" s="17">
        <v>70.14</v>
      </c>
      <c r="E96" s="17">
        <v>2.34</v>
      </c>
      <c r="F96" s="17"/>
      <c r="G96" s="17"/>
      <c r="H96" s="17"/>
      <c r="I96" s="17"/>
      <c r="J96" s="17"/>
      <c r="K96" s="17"/>
    </row>
    <row r="97" spans="1:11" ht="19.5" customHeight="1" x14ac:dyDescent="0.25">
      <c r="A97" s="19">
        <v>46275.803304201392</v>
      </c>
      <c r="B97" s="17">
        <v>67.69</v>
      </c>
      <c r="C97" s="17">
        <v>68.819999999999993</v>
      </c>
      <c r="D97" s="17">
        <v>70.14</v>
      </c>
      <c r="E97" s="17">
        <v>2.34</v>
      </c>
      <c r="F97" s="17"/>
      <c r="G97" s="17"/>
      <c r="H97" s="17"/>
      <c r="I97" s="17"/>
      <c r="J97" s="17"/>
      <c r="K97" s="17"/>
    </row>
    <row r="98" spans="1:11" ht="19.5" customHeight="1" x14ac:dyDescent="0.25">
      <c r="A98" s="19">
        <v>46275.803304444446</v>
      </c>
      <c r="B98" s="17">
        <v>67.790000000000006</v>
      </c>
      <c r="C98" s="17">
        <v>68.819999999999993</v>
      </c>
      <c r="D98" s="17">
        <v>70.14</v>
      </c>
      <c r="E98" s="17">
        <v>2.34</v>
      </c>
      <c r="F98" s="17"/>
      <c r="G98" s="17"/>
      <c r="H98" s="17"/>
      <c r="I98" s="17"/>
      <c r="J98" s="17"/>
      <c r="K98" s="17"/>
    </row>
    <row r="99" spans="1:11" ht="19.5" customHeight="1" x14ac:dyDescent="0.25">
      <c r="A99" s="19">
        <v>46275.803304664354</v>
      </c>
      <c r="B99" s="17">
        <v>67.95</v>
      </c>
      <c r="C99" s="17">
        <v>68.819999999999993</v>
      </c>
      <c r="D99" s="17">
        <v>70.14</v>
      </c>
      <c r="E99" s="17">
        <v>2.34</v>
      </c>
      <c r="F99" s="17"/>
      <c r="G99" s="17"/>
      <c r="H99" s="17"/>
      <c r="I99" s="17"/>
      <c r="J99" s="17"/>
      <c r="K99" s="17"/>
    </row>
    <row r="100" spans="1:11" ht="19.5" customHeight="1" x14ac:dyDescent="0.25">
      <c r="A100" s="19">
        <v>46275.803304895831</v>
      </c>
      <c r="B100" s="17">
        <v>68.16</v>
      </c>
      <c r="C100" s="17">
        <v>68.819999999999993</v>
      </c>
      <c r="D100" s="17">
        <v>70.14</v>
      </c>
      <c r="E100" s="17">
        <v>2.34</v>
      </c>
      <c r="F100" s="17"/>
      <c r="G100" s="17"/>
      <c r="H100" s="17"/>
      <c r="I100" s="17"/>
      <c r="J100" s="17"/>
      <c r="K100" s="17"/>
    </row>
    <row r="101" spans="1:11" ht="19.5" customHeight="1" x14ac:dyDescent="0.25">
      <c r="A101" s="19">
        <v>46275.803305138892</v>
      </c>
      <c r="B101" s="17">
        <v>68.22</v>
      </c>
      <c r="C101" s="17">
        <v>68.819999999999993</v>
      </c>
      <c r="D101" s="37">
        <v>70.14</v>
      </c>
      <c r="E101" s="37">
        <v>2.34</v>
      </c>
      <c r="F101" s="17"/>
      <c r="G101" s="17"/>
      <c r="H101" s="17"/>
      <c r="I101" s="17"/>
      <c r="J101" s="17"/>
      <c r="K101" s="17"/>
    </row>
    <row r="102" spans="1:11" ht="19.5" customHeight="1" x14ac:dyDescent="0.25">
      <c r="A102" s="19">
        <v>46275.803305370369</v>
      </c>
      <c r="B102" s="17">
        <v>68.400000000000006</v>
      </c>
      <c r="C102" s="17">
        <v>68.819999999999993</v>
      </c>
      <c r="D102" s="17">
        <v>70.14</v>
      </c>
      <c r="E102" s="17">
        <v>2.34</v>
      </c>
      <c r="F102" s="17"/>
      <c r="G102" s="17"/>
      <c r="H102" s="17"/>
      <c r="I102" s="17"/>
      <c r="J102" s="17"/>
      <c r="K102" s="17"/>
    </row>
    <row r="103" spans="1:11" ht="19.5" customHeight="1" x14ac:dyDescent="0.25">
      <c r="A103" s="19">
        <v>46275.803305601854</v>
      </c>
      <c r="B103" s="17">
        <v>68.47</v>
      </c>
      <c r="C103" s="17">
        <v>68.819999999999993</v>
      </c>
      <c r="D103" s="17">
        <v>70.14</v>
      </c>
      <c r="E103" s="17">
        <v>2.34</v>
      </c>
      <c r="F103" s="17"/>
      <c r="G103" s="17"/>
      <c r="H103" s="17"/>
      <c r="I103" s="17"/>
      <c r="J103" s="17"/>
      <c r="K103" s="17"/>
    </row>
    <row r="104" spans="1:11" ht="19.5" customHeight="1" x14ac:dyDescent="0.25">
      <c r="A104" s="19">
        <v>46275.803305833331</v>
      </c>
      <c r="B104" s="17">
        <v>68.63</v>
      </c>
      <c r="C104" s="17">
        <v>68.819999999999993</v>
      </c>
      <c r="D104" s="17">
        <v>70.14</v>
      </c>
      <c r="E104" s="17">
        <v>2.34</v>
      </c>
      <c r="F104" s="17"/>
      <c r="G104" s="17"/>
      <c r="H104" s="17"/>
      <c r="I104" s="17"/>
      <c r="J104" s="17"/>
      <c r="K104" s="17"/>
    </row>
    <row r="105" spans="1:11" ht="19.5" customHeight="1" x14ac:dyDescent="0.25">
      <c r="A105" s="19">
        <v>46275.803306064816</v>
      </c>
      <c r="B105" s="17">
        <v>68.760000000000005</v>
      </c>
      <c r="C105" s="17">
        <v>68.819999999999993</v>
      </c>
      <c r="D105" s="17">
        <v>70.14</v>
      </c>
      <c r="E105" s="17">
        <v>2.34</v>
      </c>
      <c r="F105" s="17"/>
      <c r="G105" s="17"/>
      <c r="H105" s="17"/>
      <c r="I105" s="17"/>
      <c r="J105" s="17"/>
      <c r="K105" s="17"/>
    </row>
    <row r="106" spans="1:11" ht="19.5" customHeight="1" x14ac:dyDescent="0.25">
      <c r="A106" s="19">
        <v>46275.803306296293</v>
      </c>
      <c r="B106" s="17">
        <v>64.83</v>
      </c>
      <c r="C106" s="17">
        <v>68.760000000000005</v>
      </c>
      <c r="D106" s="17">
        <v>69.959999999999994</v>
      </c>
      <c r="E106" s="17">
        <v>2.21</v>
      </c>
      <c r="F106" s="17"/>
      <c r="G106" s="17"/>
      <c r="H106" s="17"/>
      <c r="I106" s="17"/>
      <c r="J106" s="17"/>
      <c r="K106" s="17"/>
    </row>
    <row r="107" spans="1:11" ht="19.5" customHeight="1" x14ac:dyDescent="0.25">
      <c r="A107" s="20">
        <v>46275.803306516202</v>
      </c>
      <c r="B107" s="21">
        <v>57.45</v>
      </c>
      <c r="C107" s="21">
        <v>68.760000000000005</v>
      </c>
      <c r="D107" s="21">
        <v>69.959999999999994</v>
      </c>
      <c r="E107" s="21">
        <v>2.21</v>
      </c>
      <c r="F107" s="21"/>
      <c r="G107" s="21"/>
      <c r="H107" s="21"/>
      <c r="I107" s="21"/>
      <c r="J107" s="21"/>
      <c r="K107" s="21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Idő_x000d__x000a__x000d__x000a_TBL_CUR[TIME]" sqref="A5" xr:uid="{2A682868-8FB0-4703-9E91-91BBBC2009A5}"/>
    <dataValidation allowBlank="1" showInputMessage="1" showErrorMessage="1" prompt="TBL_CUR[CH1]" sqref="B5" xr:uid="{EAD22BF9-79E2-4FD4-92B9-2B2F44637A7C}"/>
    <dataValidation allowBlank="1" showInputMessage="1" showErrorMessage="1" prompt="TBL_CUR[CH2]" sqref="C5" xr:uid="{65F9A13A-699A-4F7E-BE3A-5BA58240F575}"/>
    <dataValidation allowBlank="1" showInputMessage="1" showErrorMessage="1" prompt="TBL_CUR[CH3]" sqref="D5" xr:uid="{CFB3750B-CDCE-4A1F-B45B-33DF602CCA15}"/>
    <dataValidation allowBlank="1" showInputMessage="1" showErrorMessage="1" prompt="Idő_x000d__x000a__x000d__x000a_TBL_HST[TIME]" sqref="A8:A107" xr:uid="{DEF900E1-6344-48C3-9958-D58FDC8E3F35}"/>
    <dataValidation allowBlank="1" showInputMessage="1" showErrorMessage="1" prompt="TBL_HST[CH1]" sqref="B8:B107" xr:uid="{47D23BF2-FEB5-4626-938A-25F70856F5B1}"/>
    <dataValidation allowBlank="1" showInputMessage="1" showErrorMessage="1" prompt="TBL_HST[CH2]" sqref="C8:C107" xr:uid="{94CEB7CB-3119-4361-9921-26592EFAEBA9}"/>
    <dataValidation allowBlank="1" showInputMessage="1" showErrorMessage="1" prompt="TBL_HST[CH3]" sqref="D8:D107" xr:uid="{FA04B113-90F3-4408-8E84-1B99035C3773}"/>
    <dataValidation allowBlank="1" showInputMessage="1" showErrorMessage="1" prompt="TBL_CUR[CH4]" sqref="E5" xr:uid="{0984FE3D-CDEB-4720-8FA8-1E8612453150}"/>
    <dataValidation allowBlank="1" showInputMessage="1" showErrorMessage="1" prompt="TBL_CUR[CH5]" sqref="F5" xr:uid="{31C3AC18-7453-41C5-9777-328A3E1C9E7D}"/>
    <dataValidation allowBlank="1" showInputMessage="1" showErrorMessage="1" prompt="TBL_CUR[CH6]" sqref="G5" xr:uid="{B67B0D52-6FF7-4D4D-8844-E34D1EFC7A63}"/>
    <dataValidation allowBlank="1" showInputMessage="1" showErrorMessage="1" prompt="TBL_CUR[CH7]" sqref="H5" xr:uid="{2995B438-BE0C-4070-A69F-DC7267C6A19A}"/>
    <dataValidation allowBlank="1" showInputMessage="1" showErrorMessage="1" prompt="TBL_CUR[CH8]" sqref="I5" xr:uid="{777DD093-53E8-48F4-A249-EDDA3C564288}"/>
    <dataValidation allowBlank="1" showInputMessage="1" showErrorMessage="1" prompt="TBL_CUR[CH9]" sqref="J5" xr:uid="{1FB8597C-C120-4462-837B-26AE294C5598}"/>
    <dataValidation allowBlank="1" showInputMessage="1" showErrorMessage="1" prompt="TBL_CUR[CH10]" sqref="K5" xr:uid="{CECD72E7-D564-4D15-8C11-CA1E7B1E0D27}"/>
    <dataValidation allowBlank="1" showInputMessage="1" showErrorMessage="1" prompt="TBL_HST[CH4]" sqref="E8:E107" xr:uid="{5873540C-C0C7-4BDF-954E-C0BFB23C4CF5}"/>
    <dataValidation allowBlank="1" showInputMessage="1" showErrorMessage="1" prompt="TBL_HST[CH5]" sqref="F8:F107" xr:uid="{B3DFB914-B016-4013-ABBF-2C4939C88EE4}"/>
    <dataValidation allowBlank="1" showInputMessage="1" showErrorMessage="1" prompt="TBL_HST[CH6]" sqref="G8:G107" xr:uid="{E614C317-7D9B-4A84-810A-3E47D35BECCA}"/>
    <dataValidation allowBlank="1" showInputMessage="1" showErrorMessage="1" prompt="TBL_HST[CH7]" sqref="H8:H107" xr:uid="{A4187080-76F8-4751-877C-9E09040A4B43}"/>
    <dataValidation allowBlank="1" showInputMessage="1" showErrorMessage="1" prompt="TBL_HST[CH8]" sqref="I8:I107" xr:uid="{06D0CB49-B208-4DC2-843C-85ED33B065E1}"/>
    <dataValidation allowBlank="1" showInputMessage="1" showErrorMessage="1" prompt="TBL_HST[CH9]" sqref="J8:J107" xr:uid="{8D855A00-B012-4678-9013-718F42B4FA00}"/>
    <dataValidation allowBlank="1" showInputMessage="1" showErrorMessage="1" prompt="TBL_HST[CH10]" sqref="K8:K107" xr:uid="{61D3D16E-9D0D-46D1-8DA8-674F49163F50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468C-243D-481F-A5C5-F8A571CC505E}">
  <dimension ref="A1:J5"/>
  <sheetViews>
    <sheetView workbookViewId="0">
      <selection activeCell="A6" sqref="A6"/>
    </sheetView>
  </sheetViews>
  <sheetFormatPr defaultRowHeight="15" x14ac:dyDescent="0.25"/>
  <cols>
    <col min="1" max="10" width="11.5703125" customWidth="1"/>
  </cols>
  <sheetData>
    <row r="1" spans="1:10" ht="30.75" x14ac:dyDescent="0.55000000000000004">
      <c r="A1" s="40" t="s">
        <v>29</v>
      </c>
      <c r="B1" s="40"/>
      <c r="C1" s="40"/>
      <c r="D1" s="40"/>
      <c r="E1" s="40"/>
      <c r="F1" s="40"/>
      <c r="G1" s="40"/>
      <c r="H1" s="40"/>
    </row>
    <row r="2" spans="1:10" ht="16.5" x14ac:dyDescent="0.25">
      <c r="A2" s="41" t="s">
        <v>30</v>
      </c>
      <c r="B2" s="41"/>
      <c r="C2" s="41"/>
      <c r="D2" s="41"/>
      <c r="E2" s="41"/>
      <c r="F2" s="41"/>
      <c r="G2" s="41"/>
      <c r="H2" s="41"/>
    </row>
    <row r="3" spans="1:10" ht="17.45" customHeight="1" x14ac:dyDescent="0.25"/>
    <row r="4" spans="1:10" ht="19.5" customHeight="1" x14ac:dyDescent="0.25">
      <c r="A4" s="57" t="s">
        <v>11</v>
      </c>
      <c r="B4" s="58" t="s">
        <v>13</v>
      </c>
      <c r="C4" s="58" t="s">
        <v>14</v>
      </c>
      <c r="D4" s="58" t="s">
        <v>15</v>
      </c>
      <c r="E4" s="58" t="s">
        <v>16</v>
      </c>
      <c r="F4" s="58" t="s">
        <v>17</v>
      </c>
      <c r="G4" s="58" t="s">
        <v>18</v>
      </c>
      <c r="H4" s="58" t="s">
        <v>19</v>
      </c>
      <c r="I4" s="58" t="s">
        <v>20</v>
      </c>
      <c r="J4" s="58" t="s">
        <v>21</v>
      </c>
    </row>
    <row r="5" spans="1:10" ht="27" customHeight="1" x14ac:dyDescent="0.25">
      <c r="A5" s="12" t="s">
        <v>35</v>
      </c>
      <c r="B5" s="12"/>
      <c r="C5" s="12"/>
      <c r="D5" s="12"/>
      <c r="E5" s="12"/>
      <c r="F5" s="12"/>
      <c r="G5" s="12"/>
      <c r="H5" s="12"/>
      <c r="I5" s="12"/>
      <c r="J5" s="12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4F2C-00EA-4412-8B52-7B81F762D13A}">
  <dimension ref="A1:E13"/>
  <sheetViews>
    <sheetView topLeftCell="A3" workbookViewId="0">
      <selection activeCell="C9" sqref="C9"/>
    </sheetView>
  </sheetViews>
  <sheetFormatPr defaultColWidth="8.85546875" defaultRowHeight="15" x14ac:dyDescent="0.25"/>
  <cols>
    <col min="1" max="1" width="30.7109375" style="9" customWidth="1"/>
    <col min="2" max="2" width="0.140625" style="9" customWidth="1"/>
    <col min="3" max="3" width="30.7109375" style="9" customWidth="1"/>
    <col min="4" max="16384" width="8.85546875" style="9"/>
  </cols>
  <sheetData>
    <row r="1" spans="1:5" ht="30.75" x14ac:dyDescent="0.55000000000000004">
      <c r="A1" s="42" t="s">
        <v>22</v>
      </c>
      <c r="B1" s="42"/>
      <c r="C1" s="42"/>
      <c r="D1" s="42"/>
      <c r="E1" s="42"/>
    </row>
    <row r="2" spans="1:5" ht="50.1" customHeight="1" x14ac:dyDescent="0.25">
      <c r="A2" s="43" t="s">
        <v>23</v>
      </c>
      <c r="B2" s="43"/>
      <c r="C2" s="43"/>
      <c r="D2" s="43"/>
      <c r="E2" s="43"/>
    </row>
    <row r="3" spans="1:5" ht="4.5" customHeight="1" x14ac:dyDescent="0.25"/>
    <row r="4" spans="1:5" ht="24" customHeight="1" x14ac:dyDescent="0.25">
      <c r="A4" s="56" t="s">
        <v>2</v>
      </c>
      <c r="B4" s="10">
        <v>150</v>
      </c>
      <c r="C4" s="11">
        <v>150</v>
      </c>
    </row>
    <row r="5" spans="1:5" ht="4.5" customHeight="1" x14ac:dyDescent="0.25"/>
    <row r="6" spans="1:5" ht="24" customHeight="1" x14ac:dyDescent="0.25">
      <c r="A6" s="56" t="s">
        <v>24</v>
      </c>
      <c r="B6" s="10">
        <v>15</v>
      </c>
      <c r="C6" s="11">
        <v>100</v>
      </c>
    </row>
    <row r="7" spans="1:5" ht="4.5" customHeight="1" x14ac:dyDescent="0.25"/>
    <row r="8" spans="1:5" ht="24" customHeight="1" x14ac:dyDescent="0.25">
      <c r="A8" s="56" t="s">
        <v>25</v>
      </c>
      <c r="B8" s="10">
        <v>10</v>
      </c>
      <c r="C8" s="11">
        <v>10</v>
      </c>
    </row>
    <row r="9" spans="1:5" ht="4.5" customHeight="1" x14ac:dyDescent="0.25"/>
    <row r="10" spans="1:5" ht="24" customHeight="1" x14ac:dyDescent="0.25">
      <c r="A10" s="56" t="s">
        <v>26</v>
      </c>
      <c r="B10" s="10" t="s">
        <v>27</v>
      </c>
      <c r="C10" s="11" t="s">
        <v>27</v>
      </c>
    </row>
    <row r="13" spans="1:5" ht="50.1" customHeight="1" x14ac:dyDescent="0.25">
      <c r="A13" s="44" t="s">
        <v>28</v>
      </c>
      <c r="B13" s="44"/>
      <c r="C13" s="44"/>
      <c r="D13" s="44"/>
      <c r="E13" s="44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Csak 10 és 1000 közötti értéket adhat meg" prompt="Az adatolvasások minimális időtartama ezredmásodpercben. 10 1000" sqref="C4" xr:uid="{61224D58-8468-4629-8918-445968E39543}">
      <formula1>10</formula1>
      <formula2>1000</formula2>
    </dataValidation>
    <dataValidation type="whole" allowBlank="1" showInputMessage="1" showErrorMessage="1" error="Csak 1 és 1000000 közötti értéket adhat meg" prompt="A megőrzendő múltbeli adatsorok száma. 1 1000000" sqref="C6" xr:uid="{FD7CE2F7-B5DC-4A7D-88FD-C2476DB09DE7}">
      <formula1>1</formula1>
      <formula2>1000000</formula2>
    </dataValidation>
    <dataValidation type="whole" allowBlank="1" showInputMessage="1" showErrorMessage="1" error="Csak 1 és 1000 közötti értéket adhat meg" prompt="Az elolvasni kívánt adatoszlopok száma. 1 1000" sqref="C8" xr:uid="{1522F393-922F-40CD-A9DD-3832BB6CC24F}">
      <formula1>1</formula1>
      <formula2>1000</formula2>
    </dataValidation>
    <dataValidation type="list" errorStyle="information" allowBlank="1" showInputMessage="1" sqref="C10" xr:uid="{7D8034E3-A9F6-4701-AB9C-F344B821FAF4}">
      <formula1>"Legújabbak elöl,Legújabbak utoljára"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90C7-5082-4E90-B29B-76D00841CBED}">
  <dimension ref="A1:L16"/>
  <sheetViews>
    <sheetView workbookViewId="0">
      <selection sqref="A1:G1"/>
    </sheetView>
  </sheetViews>
  <sheetFormatPr defaultColWidth="8.85546875" defaultRowHeight="15" x14ac:dyDescent="0.25"/>
  <cols>
    <col min="1" max="2" width="3.7109375" style="2" customWidth="1"/>
    <col min="3" max="3" width="14.7109375" style="2" customWidth="1"/>
    <col min="4" max="4" width="18.7109375" style="2" customWidth="1"/>
    <col min="5" max="5" width="60.7109375" style="2" customWidth="1"/>
    <col min="6" max="6" width="16.7109375" style="2" customWidth="1"/>
    <col min="7" max="7" width="12.7109375" style="2" customWidth="1"/>
    <col min="8" max="8" width="8.85546875" style="2"/>
    <col min="9" max="9" width="16.7109375" style="2" customWidth="1"/>
    <col min="10" max="10" width="60.7109375" style="2" customWidth="1"/>
    <col min="11" max="16384" width="8.85546875" style="2"/>
  </cols>
  <sheetData>
    <row r="1" spans="1:12" ht="30.75" x14ac:dyDescent="0.55000000000000004">
      <c r="A1" s="45" t="s">
        <v>4</v>
      </c>
      <c r="B1" s="45"/>
      <c r="C1" s="45"/>
      <c r="D1" s="45"/>
      <c r="E1" s="45"/>
      <c r="F1" s="45"/>
      <c r="G1" s="45"/>
      <c r="L1" s="50" t="s">
        <v>38</v>
      </c>
    </row>
    <row r="2" spans="1:12" ht="48" customHeight="1" x14ac:dyDescent="0.25">
      <c r="A2" s="46" t="s">
        <v>5</v>
      </c>
      <c r="B2" s="46"/>
      <c r="C2" s="46"/>
      <c r="D2" s="46"/>
      <c r="E2" s="46"/>
      <c r="F2" s="46"/>
      <c r="G2" s="46"/>
    </row>
    <row r="3" spans="1:12" ht="26.1" customHeight="1" x14ac:dyDescent="0.5">
      <c r="B3" s="48" t="s">
        <v>0</v>
      </c>
      <c r="C3" s="48"/>
      <c r="D3" s="48"/>
      <c r="E3" s="48"/>
      <c r="F3" s="48"/>
      <c r="G3" s="48"/>
      <c r="H3" s="48"/>
    </row>
    <row r="4" spans="1:12" ht="26.1" customHeight="1" x14ac:dyDescent="0.3">
      <c r="B4" s="47"/>
      <c r="C4" s="47"/>
      <c r="D4" s="47"/>
      <c r="E4" s="47"/>
      <c r="F4" s="47"/>
      <c r="G4" s="47"/>
      <c r="I4" s="51" t="s">
        <v>1</v>
      </c>
      <c r="J4" s="51"/>
    </row>
    <row r="5" spans="1:12" ht="24" customHeight="1" x14ac:dyDescent="0.25">
      <c r="B5" s="54"/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I5" s="52" t="s">
        <v>37</v>
      </c>
      <c r="J5" s="52"/>
      <c r="K5" s="50">
        <v>1</v>
      </c>
    </row>
    <row r="6" spans="1:12" ht="24" customHeight="1" x14ac:dyDescent="0.3">
      <c r="B6" s="54"/>
      <c r="C6" s="55" t="s">
        <v>11</v>
      </c>
      <c r="D6" s="5" t="s">
        <v>11</v>
      </c>
      <c r="E6" s="5"/>
      <c r="F6" s="5"/>
      <c r="G6" s="4" t="s">
        <v>12</v>
      </c>
      <c r="I6" s="51" t="s">
        <v>2</v>
      </c>
      <c r="J6" s="51"/>
    </row>
    <row r="7" spans="1:12" ht="24" customHeight="1" x14ac:dyDescent="0.25">
      <c r="B7" s="54"/>
      <c r="C7" s="25" t="s">
        <v>13</v>
      </c>
      <c r="D7" s="26" t="s">
        <v>13</v>
      </c>
      <c r="E7" s="26"/>
      <c r="F7" s="26"/>
      <c r="G7" s="24" t="s">
        <v>12</v>
      </c>
      <c r="I7" s="53">
        <v>150</v>
      </c>
    </row>
    <row r="8" spans="1:12" ht="24" customHeight="1" x14ac:dyDescent="0.3">
      <c r="B8" s="54"/>
      <c r="C8" s="25" t="s">
        <v>14</v>
      </c>
      <c r="D8" s="26" t="s">
        <v>14</v>
      </c>
      <c r="E8" s="26"/>
      <c r="F8" s="26"/>
      <c r="G8" s="24" t="s">
        <v>12</v>
      </c>
      <c r="I8" s="51" t="s">
        <v>3</v>
      </c>
      <c r="J8" s="51"/>
    </row>
    <row r="9" spans="1:12" ht="24" customHeight="1" x14ac:dyDescent="0.25">
      <c r="B9" s="54"/>
      <c r="C9" s="25" t="s">
        <v>15</v>
      </c>
      <c r="D9" s="26" t="s">
        <v>15</v>
      </c>
      <c r="E9" s="26"/>
      <c r="F9" s="26"/>
      <c r="G9" s="24" t="s">
        <v>12</v>
      </c>
      <c r="I9" s="53">
        <v>115200</v>
      </c>
    </row>
    <row r="10" spans="1:12" ht="24" customHeight="1" x14ac:dyDescent="0.25">
      <c r="B10" s="54"/>
      <c r="C10" s="25" t="s">
        <v>16</v>
      </c>
      <c r="D10" s="26" t="s">
        <v>16</v>
      </c>
      <c r="E10" s="26"/>
      <c r="F10" s="26"/>
      <c r="G10" s="24" t="s">
        <v>12</v>
      </c>
    </row>
    <row r="11" spans="1:12" ht="24" customHeight="1" x14ac:dyDescent="0.25">
      <c r="B11" s="54"/>
      <c r="C11" s="25" t="s">
        <v>17</v>
      </c>
      <c r="D11" s="26" t="s">
        <v>17</v>
      </c>
      <c r="E11" s="26"/>
      <c r="F11" s="26"/>
      <c r="G11" s="24" t="s">
        <v>12</v>
      </c>
    </row>
    <row r="12" spans="1:12" ht="24" customHeight="1" x14ac:dyDescent="0.25">
      <c r="B12" s="54"/>
      <c r="C12" s="25" t="s">
        <v>18</v>
      </c>
      <c r="D12" s="26" t="s">
        <v>18</v>
      </c>
      <c r="E12" s="26"/>
      <c r="F12" s="26"/>
      <c r="G12" s="24" t="s">
        <v>12</v>
      </c>
    </row>
    <row r="13" spans="1:12" ht="24" customHeight="1" x14ac:dyDescent="0.25">
      <c r="B13" s="54"/>
      <c r="C13" s="25" t="s">
        <v>19</v>
      </c>
      <c r="D13" s="26" t="s">
        <v>19</v>
      </c>
      <c r="E13" s="26"/>
      <c r="F13" s="26"/>
      <c r="G13" s="24" t="s">
        <v>12</v>
      </c>
    </row>
    <row r="14" spans="1:12" ht="24" customHeight="1" x14ac:dyDescent="0.25">
      <c r="B14" s="54"/>
      <c r="C14" s="25" t="s">
        <v>20</v>
      </c>
      <c r="D14" s="26" t="s">
        <v>20</v>
      </c>
      <c r="E14" s="26"/>
      <c r="F14" s="26"/>
      <c r="G14" s="24" t="s">
        <v>12</v>
      </c>
    </row>
    <row r="15" spans="1:12" ht="24" customHeight="1" thickBot="1" x14ac:dyDescent="0.3">
      <c r="B15" s="49"/>
      <c r="C15" s="6" t="s">
        <v>21</v>
      </c>
      <c r="D15" s="7" t="s">
        <v>21</v>
      </c>
      <c r="E15" s="7"/>
      <c r="F15" s="7"/>
      <c r="G15" s="8" t="s">
        <v>12</v>
      </c>
    </row>
    <row r="16" spans="1:12" ht="24" customHeight="1" thickTop="1" x14ac:dyDescent="0.25"/>
  </sheetData>
  <mergeCells count="9">
    <mergeCell ref="I5:J5"/>
    <mergeCell ref="I6:J6"/>
    <mergeCell ref="I8:J8"/>
    <mergeCell ref="A1:G1"/>
    <mergeCell ref="A2:G2"/>
    <mergeCell ref="B4:G4"/>
    <mergeCell ref="B3:H3"/>
    <mergeCell ref="I4:J4"/>
    <mergeCell ref="B5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9</vt:i4>
      </vt:variant>
    </vt:vector>
  </HeadingPairs>
  <TitlesOfParts>
    <vt:vector size="14" baseType="lpstr">
      <vt:lpstr>Munka1</vt:lpstr>
      <vt:lpstr>Bejövő adatok</vt:lpstr>
      <vt:lpstr>Kimenő adatok</vt:lpstr>
      <vt:lpstr>Beállítások</vt:lpstr>
      <vt:lpstr>Jegyzékfájl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Pilath Károly</dc:creator>
  <cp:lastModifiedBy>dr. Piláth Károly</cp:lastModifiedBy>
  <dcterms:created xsi:type="dcterms:W3CDTF">2023-08-18T06:52:58Z</dcterms:created>
  <dcterms:modified xsi:type="dcterms:W3CDTF">2026-09-10T17:16:53Z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c8b9b829-619a-4040-beb7-e9fb80d61614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